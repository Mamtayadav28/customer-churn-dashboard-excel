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ab405f7ecf2de6ab/文档/Desktop/"/>
    </mc:Choice>
  </mc:AlternateContent>
  <xr:revisionPtr revIDLastSave="744" documentId="8_{BECF4A6B-FD3E-4AD1-8CBC-00CFBF1587F0}" xr6:coauthVersionLast="47" xr6:coauthVersionMax="47" xr10:uidLastSave="{40606FAA-B766-456F-B68F-2F32D895FB1C}"/>
  <bookViews>
    <workbookView xWindow="-108" yWindow="-108" windowWidth="23256" windowHeight="12456" activeTab="1" xr2:uid="{A073563C-52F7-46C5-8B46-BDCEA5D3467B}"/>
  </bookViews>
  <sheets>
    <sheet name="Dashboard" sheetId="4" r:id="rId1"/>
    <sheet name="Customer" sheetId="1" r:id="rId2"/>
  </sheets>
  <definedNames>
    <definedName name="Slicer_Customer_segment1">#N/A</definedName>
    <definedName name="Slicer_Discount_Used">#N/A</definedName>
    <definedName name="Slicer_Region">#N/A</definedName>
    <definedName name="Slicer_Risk_level1">#N/A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2" i="1"/>
  <c r="K2"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<sst xmlns="http://schemas.openxmlformats.org/spreadsheetml/2006/main" count="215" uniqueCount="71">
  <si>
    <t>Customer_ID</t>
  </si>
  <si>
    <t>Age</t>
  </si>
  <si>
    <t>Region</t>
  </si>
  <si>
    <t>Orders</t>
  </si>
  <si>
    <t>Total_Spending</t>
  </si>
  <si>
    <t>Last_Purchase_Days</t>
  </si>
  <si>
    <t>Complaints</t>
  </si>
  <si>
    <t>Discount_Used</t>
  </si>
  <si>
    <t>Churn</t>
  </si>
  <si>
    <t>C001</t>
  </si>
  <si>
    <t>West</t>
  </si>
  <si>
    <t>Yes</t>
  </si>
  <si>
    <t>No</t>
  </si>
  <si>
    <t>C002</t>
  </si>
  <si>
    <t>North</t>
  </si>
  <si>
    <t>C003</t>
  </si>
  <si>
    <t>South</t>
  </si>
  <si>
    <t>C004</t>
  </si>
  <si>
    <t>East</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</si>
  <si>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</si>
  <si>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</si>
  <si>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</si>
  <si>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</si>
  <si>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</si>
  <si>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</si>
  <si>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</si>
  <si>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</si>
  <si>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</si>
  <si>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</si>
  <si>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</si>
  <si>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</si>
  <si>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</si>
  <si>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</si>
  <si>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</si>
  <si>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</si>
  <si>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</si>
  <si>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</si>
  <si>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</si>
  <si>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</si>
  <si>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</si>
  <si>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</si>
  <si>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</si>
  <si>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</si>
  <si>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</si>
  <si>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</si>
  <si>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</si>
  <si>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</si>
  <si>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</si>
  <si>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</si>
  <si>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</si>
  <si>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</si>
  <si>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</si>
  <si>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</si>
  <si>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</si>
  <si>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</si>
  <si>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</si>
  <si>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</si>
  <si>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</si>
  <si>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</si>
  <si>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</si>
  <si>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</si>
  <si>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</si>
  <si>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</si>
  <si>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</si>
  <si>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</si>
  <si>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Churn_Score</t>
  </si>
  <si>
    <t>Risk_level</t>
  </si>
  <si>
    <t>Customer  Churn  Analytics  DashBoard</t>
  </si>
  <si>
    <t>Customer segment</t>
  </si>
  <si>
    <t>Engegement level</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</si>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</sst>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2"/>
      <color theme="1"/>
      <name val="Aptos Narrow"/>
      <family val="2"/>
      <scheme val="minor"/>
    </font>
    <font>
      <sz val="8"/>
      <name val="Aptos Narrow"/>
      <family val="2"/>
      <scheme val="minor"/>
    </font>
    <font>
      <sz val="11"/>
      <color theme="0" tint="-4.9989318521683403E-2"/>
      <name val="Aptos Narrow"/>
      <family val="2"/>
      <scheme val="minor"/>
    </font>
    <font>
      <sz val="11"/>
      <color theme="3"/>
      <name val="Aptos Narrow"/>
      <family val="2"/>
      <scheme val="minor"/>
    </font>
    <font>
      <b/>
      <sz val="20"/>
      <color theme="0"/>
      <name val="Aptos Narrow"/>
      <family val="2"/>
      <scheme val="minor"/>
    </font>
    <font>
      <b/>
      <sz val="36"/>
      <color theme="0"/>
      <name val="Aptos Narrow"/>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left"/>
    </xf>
    <xf numFmtId="0" fontId="3" fillId="0" borderId="0" xfId="0" applyFont="1"/>
    <xf numFmtId="0" fontId="6" fillId="2" borderId="0" xfId="0" applyFont="1" applyFill="1" applyAlignment="1">
      <alignment horizontal="center"/>
    </xf>
    <xf numFmtId="0" fontId="5" fillId="2" borderId="0" xfId="0" applyFont="1" applyFill="1" applyAlignment="1">
      <alignment horizontal="center"/>
    </xf>
    <xf numFmtId="0" fontId="4" fillId="2" borderId="0" xfId="0" applyFont="1" applyFill="1" applyAlignment="1">
      <alignment horizontal="center"/>
    </xf>
    <xf numFmtId="0" fontId="0" fillId="0" borderId="0" xfId="0" applyAlignment="1">
      <alignment horizontal="center"/>
    </xf>
  </cellXfs>
  <cellStyles count="1">
    <cellStyle name="Normal" xfId="0" builtinId="0"/>
  </cellStyles>
  <dxfs count="3">
    <dxf>
      <numFmt numFmtId="0" formatCode="General"/>
    </dxf>
    <dxf>
      <numFmt numFmtId="0" formatCode="General"/>
    </dxf>
    <dxf>
      <font>
        <b/>
        <i val="0"/>
        <strike val="0"/>
        <condense val="0"/>
        <extend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microsoft.com/office/2022/10/relationships/richValueRel" Target="richData/richValueRel.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eetMetadata" Target="metadata.xml"/><Relationship Id="rId5" Type="http://schemas.microsoft.com/office/2007/relationships/slicerCache" Target="slicerCaches/slicerCache2.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No</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7</c:v>
              </c:pt>
              <c:pt idx="1">
                <c:v>7</c:v>
              </c:pt>
              <c:pt idx="2">
                <c:v>7</c:v>
              </c:pt>
              <c:pt idx="3">
                <c:v>11</c:v>
              </c:pt>
            </c:numLit>
          </c:val>
          <c:extLst>
            <c:ext xmlns:c16="http://schemas.microsoft.com/office/drawing/2014/chart" uri="{C3380CC4-5D6E-409C-BE32-E72D297353CC}">
              <c16:uniqueId val="{00000000-0CC0-4530-9117-1BF9B7466F95}"/>
            </c:ext>
          </c:extLst>
        </c:ser>
        <c:ser>
          <c:idx val="1"/>
          <c:order val="1"/>
          <c:tx>
            <c:v>Yes</c:v>
          </c:tx>
          <c:spPr>
            <a:solidFill>
              <a:srgbClr val="FF0000"/>
            </a:solidFill>
            <a:ln>
              <a:noFill/>
            </a:ln>
            <a:effectLst/>
          </c:spPr>
          <c:invertIfNegative val="0"/>
          <c:cat>
            <c:strLit>
              <c:ptCount val="4"/>
              <c:pt idx="0">
                <c:v>East</c:v>
              </c:pt>
              <c:pt idx="1">
                <c:v>North</c:v>
              </c:pt>
              <c:pt idx="2">
                <c:v>South</c:v>
              </c:pt>
              <c:pt idx="3">
                <c:v>West</c:v>
              </c:pt>
            </c:strLit>
          </c:cat>
          <c:val>
            <c:numLit>
              <c:formatCode>General</c:formatCode>
              <c:ptCount val="4"/>
              <c:pt idx="0">
                <c:v>5</c:v>
              </c:pt>
              <c:pt idx="1">
                <c:v>6</c:v>
              </c:pt>
              <c:pt idx="2">
                <c:v>5</c:v>
              </c:pt>
              <c:pt idx="3">
                <c:v>2</c:v>
              </c:pt>
            </c:numLit>
          </c:val>
          <c:extLst>
            <c:ext xmlns:c16="http://schemas.microsoft.com/office/drawing/2014/chart" uri="{C3380CC4-5D6E-409C-BE32-E72D297353CC}">
              <c16:uniqueId val="{00000003-0CC0-4530-9117-1BF9B7466F95}"/>
            </c:ext>
          </c:extLst>
        </c:ser>
        <c:dLbls>
          <c:showLegendKey val="0"/>
          <c:showVal val="0"/>
          <c:showCatName val="0"/>
          <c:showSerName val="0"/>
          <c:showPercent val="0"/>
          <c:showBubbleSize val="0"/>
        </c:dLbls>
        <c:gapWidth val="150"/>
        <c:overlap val="100"/>
        <c:axId val="610232528"/>
        <c:axId val="610233968"/>
      </c:barChart>
      <c:catAx>
        <c:axId val="61023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10233968"/>
        <c:crosses val="autoZero"/>
        <c:auto val="1"/>
        <c:lblAlgn val="ctr"/>
        <c:lblOffset val="100"/>
        <c:noMultiLvlLbl val="0"/>
      </c:catAx>
      <c:valAx>
        <c:axId val="610233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1023252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99600074694217"/>
          <c:y val="0.25046215051589965"/>
          <c:w val="0.51867070720637531"/>
          <c:h val="0.47746579549896689"/>
        </c:manualLayout>
      </c:layout>
      <c:barChart>
        <c:barDir val="col"/>
        <c:grouping val="clustered"/>
        <c:varyColors val="0"/>
        <c:ser>
          <c:idx val="0"/>
          <c:order val="0"/>
          <c:tx>
            <c:v>Average of Total_Spending</c:v>
          </c:tx>
          <c:spPr>
            <a:solidFill>
              <a:schemeClr val="accent1"/>
            </a:solidFill>
            <a:ln>
              <a:noFill/>
            </a:ln>
            <a:effectLst/>
          </c:spPr>
          <c:invertIfNegative val="0"/>
          <c:cat>
            <c:strLit>
              <c:ptCount val="2"/>
              <c:pt idx="0">
                <c:v>High Risk</c:v>
              </c:pt>
              <c:pt idx="1">
                <c:v>Low Risk</c:v>
              </c:pt>
            </c:strLit>
          </c:cat>
          <c:val>
            <c:numLit>
              <c:formatCode>General</c:formatCode>
              <c:ptCount val="2"/>
              <c:pt idx="0">
                <c:v>3961.1111111111113</c:v>
              </c:pt>
              <c:pt idx="1">
                <c:v>14793.75</c:v>
              </c:pt>
            </c:numLit>
          </c:val>
          <c:extLst>
            <c:ext xmlns:c16="http://schemas.microsoft.com/office/drawing/2014/chart" uri="{C3380CC4-5D6E-409C-BE32-E72D297353CC}">
              <c16:uniqueId val="{00000000-D667-4082-AED8-764E1739CE74}"/>
            </c:ext>
          </c:extLst>
        </c:ser>
        <c:ser>
          <c:idx val="1"/>
          <c:order val="1"/>
          <c:tx>
            <c:v>Average of Orders</c:v>
          </c:tx>
          <c:spPr>
            <a:solidFill>
              <a:schemeClr val="accent2"/>
            </a:solidFill>
            <a:ln>
              <a:noFill/>
            </a:ln>
            <a:effectLst/>
          </c:spPr>
          <c:invertIfNegative val="0"/>
          <c:cat>
            <c:strLit>
              <c:ptCount val="2"/>
              <c:pt idx="0">
                <c:v>High Risk</c:v>
              </c:pt>
              <c:pt idx="1">
                <c:v>Low Risk</c:v>
              </c:pt>
            </c:strLit>
          </c:cat>
          <c:val>
            <c:numLit>
              <c:formatCode>General</c:formatCode>
              <c:ptCount val="2"/>
              <c:pt idx="0">
                <c:v>1.5555555555555556</c:v>
              </c:pt>
              <c:pt idx="1">
                <c:v>5.53125</c:v>
              </c:pt>
            </c:numLit>
          </c:val>
          <c:extLst>
            <c:ext xmlns:c16="http://schemas.microsoft.com/office/drawing/2014/chart" uri="{C3380CC4-5D6E-409C-BE32-E72D297353CC}">
              <c16:uniqueId val="{00000001-D667-4082-AED8-764E1739CE74}"/>
            </c:ext>
          </c:extLst>
        </c:ser>
        <c:dLbls>
          <c:showLegendKey val="0"/>
          <c:showVal val="0"/>
          <c:showCatName val="0"/>
          <c:showSerName val="0"/>
          <c:showPercent val="0"/>
          <c:showBubbleSize val="0"/>
        </c:dLbls>
        <c:gapWidth val="219"/>
        <c:overlap val="-27"/>
        <c:axId val="711752016"/>
        <c:axId val="711750096"/>
      </c:barChart>
      <c:catAx>
        <c:axId val="71175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11750096"/>
        <c:crosses val="autoZero"/>
        <c:auto val="1"/>
        <c:lblAlgn val="ctr"/>
        <c:lblOffset val="100"/>
        <c:noMultiLvlLbl val="0"/>
      </c:catAx>
      <c:valAx>
        <c:axId val="711750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175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C00000"/>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solidFill>
          <a:ln w="25400">
            <a:solidFill>
              <a:schemeClr val="lt1"/>
            </a:solidFill>
          </a:ln>
          <a:effectLst/>
          <a:sp3d contourW="25400">
            <a:contourClr>
              <a:schemeClr val="lt1"/>
            </a:contourClr>
          </a:sp3d>
        </c:spPr>
      </c:pivotFmt>
      <c:pivotFmt>
        <c:idx val="4"/>
        <c:spPr>
          <a:solidFill>
            <a:srgbClr val="C00000"/>
          </a:solidFill>
          <a:ln w="25400">
            <a:solidFill>
              <a:schemeClr val="lt1"/>
            </a:solidFill>
          </a:ln>
          <a:effectLst/>
          <a:sp3d contourW="25400">
            <a:contourClr>
              <a:schemeClr val="lt1"/>
            </a:contourClr>
          </a:sp3d>
        </c:spPr>
      </c:pivotFmt>
      <c:pivotFmt>
        <c:idx val="5"/>
        <c:spPr>
          <a:solidFill>
            <a:srgbClr val="C00000"/>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C00000"/>
          </a:solidFill>
          <a:ln w="25400">
            <a:solidFill>
              <a:schemeClr val="lt1"/>
            </a:solidFill>
          </a:ln>
          <a:effectLst/>
          <a:sp3d contourW="25400">
            <a:contourClr>
              <a:schemeClr val="lt1"/>
            </a:contourClr>
          </a:sp3d>
        </c:spPr>
      </c:pivotFmt>
      <c:pivotFmt>
        <c:idx val="7"/>
        <c:spPr>
          <a:solidFill>
            <a:schemeClr val="tx2"/>
          </a:solidFill>
          <a:ln w="25400">
            <a:solidFill>
              <a:schemeClr val="lt1"/>
            </a:solidFill>
          </a:ln>
          <a:effectLst/>
          <a:sp3d contourW="25400">
            <a:contourClr>
              <a:schemeClr val="lt1"/>
            </a:contourClr>
          </a:sp3d>
        </c:spPr>
      </c:pivotFmt>
      <c:pivotFmt>
        <c:idx val="8"/>
        <c:spPr>
          <a:solidFill>
            <a:srgbClr val="C00000"/>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C00000"/>
          </a:solidFill>
          <a:ln w="25400">
            <a:solidFill>
              <a:schemeClr val="lt1"/>
            </a:solidFill>
          </a:ln>
          <a:effectLst/>
          <a:sp3d contourW="25400">
            <a:contourClr>
              <a:schemeClr val="lt1"/>
            </a:contourClr>
          </a:sp3d>
        </c:spPr>
      </c:pivotFmt>
      <c:pivotFmt>
        <c:idx val="10"/>
        <c:spPr>
          <a:solidFill>
            <a:schemeClr val="tx2"/>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082078894549944"/>
          <c:y val="0.10169622804881348"/>
          <c:w val="0.68575742056633171"/>
          <c:h val="0.8381662487719761"/>
        </c:manualLayout>
      </c:layout>
      <c:pie3DChart>
        <c:varyColors val="1"/>
        <c:ser>
          <c:idx val="0"/>
          <c:order val="0"/>
          <c:tx>
            <c:v>Series1</c:v>
          </c:tx>
          <c:spPr>
            <a:solidFill>
              <a:srgbClr val="C00000"/>
            </a:solidFill>
          </c:spPr>
          <c:dPt>
            <c:idx val="0"/>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5FC7-4ED6-A6C9-EECBF544A562}"/>
              </c:ext>
            </c:extLst>
          </c:dPt>
          <c:dPt>
            <c:idx val="1"/>
            <c:bubble3D val="0"/>
            <c:spPr>
              <a:solidFill>
                <a:schemeClr val="tx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FC7-4ED6-A6C9-EECBF544A56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High Risk</c:v>
              </c:pt>
              <c:pt idx="1">
                <c:v>Low Risk</c:v>
              </c:pt>
            </c:strLit>
          </c:cat>
          <c:val>
            <c:numLit>
              <c:formatCode>General</c:formatCode>
              <c:ptCount val="2"/>
              <c:pt idx="0">
                <c:v>18</c:v>
              </c:pt>
              <c:pt idx="1">
                <c:v>32</c:v>
              </c:pt>
            </c:numLit>
          </c:val>
          <c:extLst>
            <c:ext xmlns:c16="http://schemas.microsoft.com/office/drawing/2014/chart" uri="{C3380CC4-5D6E-409C-BE32-E72D297353CC}">
              <c16:uniqueId val="{00000004-5FC7-4ED6-A6C9-EECBF544A56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43"/>
              <c:pt idx="0">
                <c:v>5</c:v>
              </c:pt>
              <c:pt idx="1">
                <c:v>6</c:v>
              </c:pt>
              <c:pt idx="2">
                <c:v>7</c:v>
              </c:pt>
              <c:pt idx="3">
                <c:v>8</c:v>
              </c:pt>
              <c:pt idx="4">
                <c:v>9</c:v>
              </c:pt>
              <c:pt idx="5">
                <c:v>10</c:v>
              </c:pt>
              <c:pt idx="6">
                <c:v>11</c:v>
              </c:pt>
              <c:pt idx="7">
                <c:v>12</c:v>
              </c:pt>
              <c:pt idx="8">
                <c:v>13</c:v>
              </c:pt>
              <c:pt idx="9">
                <c:v>14</c:v>
              </c:pt>
              <c:pt idx="10">
                <c:v>15</c:v>
              </c:pt>
              <c:pt idx="11">
                <c:v>16</c:v>
              </c:pt>
              <c:pt idx="12">
                <c:v>18</c:v>
              </c:pt>
              <c:pt idx="13">
                <c:v>19</c:v>
              </c:pt>
              <c:pt idx="14">
                <c:v>20</c:v>
              </c:pt>
              <c:pt idx="15">
                <c:v>21</c:v>
              </c:pt>
              <c:pt idx="16">
                <c:v>22</c:v>
              </c:pt>
              <c:pt idx="17">
                <c:v>25</c:v>
              </c:pt>
              <c:pt idx="18">
                <c:v>27</c:v>
              </c:pt>
              <c:pt idx="19">
                <c:v>28</c:v>
              </c:pt>
              <c:pt idx="20">
                <c:v>30</c:v>
              </c:pt>
              <c:pt idx="21">
                <c:v>40</c:v>
              </c:pt>
              <c:pt idx="22">
                <c:v>42</c:v>
              </c:pt>
              <c:pt idx="23">
                <c:v>45</c:v>
              </c:pt>
              <c:pt idx="24">
                <c:v>48</c:v>
              </c:pt>
              <c:pt idx="25">
                <c:v>50</c:v>
              </c:pt>
              <c:pt idx="26">
                <c:v>60</c:v>
              </c:pt>
              <c:pt idx="27">
                <c:v>65</c:v>
              </c:pt>
              <c:pt idx="28">
                <c:v>68</c:v>
              </c:pt>
              <c:pt idx="29">
                <c:v>70</c:v>
              </c:pt>
              <c:pt idx="30">
                <c:v>75</c:v>
              </c:pt>
              <c:pt idx="31">
                <c:v>78</c:v>
              </c:pt>
              <c:pt idx="32">
                <c:v>80</c:v>
              </c:pt>
              <c:pt idx="33">
                <c:v>82</c:v>
              </c:pt>
              <c:pt idx="34">
                <c:v>85</c:v>
              </c:pt>
              <c:pt idx="35">
                <c:v>88</c:v>
              </c:pt>
              <c:pt idx="36">
                <c:v>90</c:v>
              </c:pt>
              <c:pt idx="37">
                <c:v>95</c:v>
              </c:pt>
              <c:pt idx="38">
                <c:v>100</c:v>
              </c:pt>
              <c:pt idx="39">
                <c:v>105</c:v>
              </c:pt>
              <c:pt idx="40">
                <c:v>110</c:v>
              </c:pt>
              <c:pt idx="41">
                <c:v>115</c:v>
              </c:pt>
              <c:pt idx="42">
                <c:v>120</c:v>
              </c:pt>
            </c:strLit>
          </c:cat>
          <c:val>
            <c:numLit>
              <c:formatCode>General</c:formatCode>
              <c:ptCount val="43"/>
              <c:pt idx="0">
                <c:v>2</c:v>
              </c:pt>
              <c:pt idx="1">
                <c:v>1</c:v>
              </c:pt>
              <c:pt idx="2">
                <c:v>1</c:v>
              </c:pt>
              <c:pt idx="3">
                <c:v>1</c:v>
              </c:pt>
              <c:pt idx="4">
                <c:v>1</c:v>
              </c:pt>
              <c:pt idx="5">
                <c:v>2</c:v>
              </c:pt>
              <c:pt idx="6">
                <c:v>1</c:v>
              </c:pt>
              <c:pt idx="7">
                <c:v>2</c:v>
              </c:pt>
              <c:pt idx="8">
                <c:v>1</c:v>
              </c:pt>
              <c:pt idx="9">
                <c:v>2</c:v>
              </c:pt>
              <c:pt idx="10">
                <c:v>2</c:v>
              </c:pt>
              <c:pt idx="11">
                <c:v>1</c:v>
              </c:pt>
              <c:pt idx="12">
                <c:v>2</c:v>
              </c:pt>
              <c:pt idx="13">
                <c:v>1</c:v>
              </c:pt>
              <c:pt idx="14">
                <c:v>1</c:v>
              </c:pt>
              <c:pt idx="15">
                <c:v>1</c:v>
              </c:pt>
              <c:pt idx="16">
                <c:v>1</c:v>
              </c:pt>
              <c:pt idx="17">
                <c:v>1</c:v>
              </c:pt>
              <c:pt idx="18">
                <c:v>1</c:v>
              </c:pt>
              <c:pt idx="19">
                <c:v>1</c:v>
              </c:pt>
              <c:pt idx="20">
                <c:v>1</c:v>
              </c:pt>
              <c:pt idx="21">
                <c:v>1</c:v>
              </c:pt>
              <c:pt idx="22">
                <c:v>1</c:v>
              </c:pt>
              <c:pt idx="23">
                <c:v>1</c:v>
              </c:pt>
              <c:pt idx="24">
                <c:v>1</c:v>
              </c:pt>
              <c:pt idx="25">
                <c:v>1</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numLit>
          </c:val>
          <c:smooth val="0"/>
          <c:extLst>
            <c:ext xmlns:c16="http://schemas.microsoft.com/office/drawing/2014/chart" uri="{C3380CC4-5D6E-409C-BE32-E72D297353CC}">
              <c16:uniqueId val="{00000000-621A-452E-9675-0110D1544DC1}"/>
            </c:ext>
          </c:extLst>
        </c:ser>
        <c:ser>
          <c:idx val="1"/>
          <c:order val="1"/>
          <c:tx>
            <c:v>Yes</c:v>
          </c:tx>
          <c:spPr>
            <a:ln w="28575" cap="rnd">
              <a:solidFill>
                <a:srgbClr val="FF0000"/>
              </a:solidFill>
              <a:round/>
            </a:ln>
            <a:effectLst/>
          </c:spPr>
          <c:marker>
            <c:symbol val="none"/>
          </c:marker>
          <c:cat>
            <c:strLit>
              <c:ptCount val="43"/>
              <c:pt idx="0">
                <c:v>5</c:v>
              </c:pt>
              <c:pt idx="1">
                <c:v>6</c:v>
              </c:pt>
              <c:pt idx="2">
                <c:v>7</c:v>
              </c:pt>
              <c:pt idx="3">
                <c:v>8</c:v>
              </c:pt>
              <c:pt idx="4">
                <c:v>9</c:v>
              </c:pt>
              <c:pt idx="5">
                <c:v>10</c:v>
              </c:pt>
              <c:pt idx="6">
                <c:v>11</c:v>
              </c:pt>
              <c:pt idx="7">
                <c:v>12</c:v>
              </c:pt>
              <c:pt idx="8">
                <c:v>13</c:v>
              </c:pt>
              <c:pt idx="9">
                <c:v>14</c:v>
              </c:pt>
              <c:pt idx="10">
                <c:v>15</c:v>
              </c:pt>
              <c:pt idx="11">
                <c:v>16</c:v>
              </c:pt>
              <c:pt idx="12">
                <c:v>18</c:v>
              </c:pt>
              <c:pt idx="13">
                <c:v>19</c:v>
              </c:pt>
              <c:pt idx="14">
                <c:v>20</c:v>
              </c:pt>
              <c:pt idx="15">
                <c:v>21</c:v>
              </c:pt>
              <c:pt idx="16">
                <c:v>22</c:v>
              </c:pt>
              <c:pt idx="17">
                <c:v>25</c:v>
              </c:pt>
              <c:pt idx="18">
                <c:v>27</c:v>
              </c:pt>
              <c:pt idx="19">
                <c:v>28</c:v>
              </c:pt>
              <c:pt idx="20">
                <c:v>30</c:v>
              </c:pt>
              <c:pt idx="21">
                <c:v>40</c:v>
              </c:pt>
              <c:pt idx="22">
                <c:v>42</c:v>
              </c:pt>
              <c:pt idx="23">
                <c:v>45</c:v>
              </c:pt>
              <c:pt idx="24">
                <c:v>48</c:v>
              </c:pt>
              <c:pt idx="25">
                <c:v>50</c:v>
              </c:pt>
              <c:pt idx="26">
                <c:v>60</c:v>
              </c:pt>
              <c:pt idx="27">
                <c:v>65</c:v>
              </c:pt>
              <c:pt idx="28">
                <c:v>68</c:v>
              </c:pt>
              <c:pt idx="29">
                <c:v>70</c:v>
              </c:pt>
              <c:pt idx="30">
                <c:v>75</c:v>
              </c:pt>
              <c:pt idx="31">
                <c:v>78</c:v>
              </c:pt>
              <c:pt idx="32">
                <c:v>80</c:v>
              </c:pt>
              <c:pt idx="33">
                <c:v>82</c:v>
              </c:pt>
              <c:pt idx="34">
                <c:v>85</c:v>
              </c:pt>
              <c:pt idx="35">
                <c:v>88</c:v>
              </c:pt>
              <c:pt idx="36">
                <c:v>90</c:v>
              </c:pt>
              <c:pt idx="37">
                <c:v>95</c:v>
              </c:pt>
              <c:pt idx="38">
                <c:v>100</c:v>
              </c:pt>
              <c:pt idx="39">
                <c:v>105</c:v>
              </c:pt>
              <c:pt idx="40">
                <c:v>110</c:v>
              </c:pt>
              <c:pt idx="41">
                <c:v>115</c:v>
              </c:pt>
              <c:pt idx="42">
                <c:v>120</c:v>
              </c:pt>
            </c:strLit>
          </c:cat>
          <c:val>
            <c:numLit>
              <c:formatCode>General</c:formatCode>
              <c:ptCount val="4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c:v>
              </c:pt>
              <c:pt idx="27">
                <c:v>1</c:v>
              </c:pt>
              <c:pt idx="28">
                <c:v>1</c:v>
              </c:pt>
              <c:pt idx="29">
                <c:v>1</c:v>
              </c:pt>
              <c:pt idx="30">
                <c:v>1</c:v>
              </c:pt>
              <c:pt idx="31">
                <c:v>1</c:v>
              </c:pt>
              <c:pt idx="32">
                <c:v>1</c:v>
              </c:pt>
              <c:pt idx="33">
                <c:v>1</c:v>
              </c:pt>
              <c:pt idx="34">
                <c:v>1</c:v>
              </c:pt>
              <c:pt idx="35">
                <c:v>1</c:v>
              </c:pt>
              <c:pt idx="36">
                <c:v>2</c:v>
              </c:pt>
              <c:pt idx="37">
                <c:v>1</c:v>
              </c:pt>
              <c:pt idx="38">
                <c:v>1</c:v>
              </c:pt>
              <c:pt idx="39">
                <c:v>1</c:v>
              </c:pt>
              <c:pt idx="40">
                <c:v>1</c:v>
              </c:pt>
              <c:pt idx="41">
                <c:v>1</c:v>
              </c:pt>
              <c:pt idx="42">
                <c:v>1</c:v>
              </c:pt>
            </c:numLit>
          </c:val>
          <c:smooth val="0"/>
          <c:extLst>
            <c:ext xmlns:c16="http://schemas.microsoft.com/office/drawing/2014/chart" uri="{C3380CC4-5D6E-409C-BE32-E72D297353CC}">
              <c16:uniqueId val="{00000003-621A-452E-9675-0110D1544DC1}"/>
            </c:ext>
          </c:extLst>
        </c:ser>
        <c:dLbls>
          <c:showLegendKey val="0"/>
          <c:showVal val="0"/>
          <c:showCatName val="0"/>
          <c:showSerName val="0"/>
          <c:showPercent val="0"/>
          <c:showBubbleSize val="0"/>
        </c:dLbls>
        <c:smooth val="0"/>
        <c:axId val="722077024"/>
        <c:axId val="615585008"/>
      </c:lineChart>
      <c:catAx>
        <c:axId val="72207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15585008"/>
        <c:crosses val="autoZero"/>
        <c:auto val="1"/>
        <c:lblAlgn val="ctr"/>
        <c:lblOffset val="100"/>
        <c:noMultiLvlLbl val="0"/>
      </c:catAx>
      <c:valAx>
        <c:axId val="61558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207702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14.png"/><Relationship Id="rId18" Type="http://schemas.openxmlformats.org/officeDocument/2006/relationships/chart" Target="../charts/chart4.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svg"/><Relationship Id="rId17" Type="http://schemas.openxmlformats.org/officeDocument/2006/relationships/chart" Target="../charts/chart3.xml"/><Relationship Id="rId2" Type="http://schemas.openxmlformats.org/officeDocument/2006/relationships/image" Target="../media/image3.png"/><Relationship Id="rId16" Type="http://schemas.openxmlformats.org/officeDocument/2006/relationships/chart" Target="../charts/chart2.xml"/><Relationship Id="rId20" Type="http://schemas.openxmlformats.org/officeDocument/2006/relationships/image" Target="../media/image17.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chart" Target="../charts/chart1.xml"/><Relationship Id="rId10" Type="http://schemas.openxmlformats.org/officeDocument/2006/relationships/image" Target="../media/image11.svg"/><Relationship Id="rId19" Type="http://schemas.openxmlformats.org/officeDocument/2006/relationships/image" Target="../media/image16.png"/><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121920</xdr:rowOff>
    </xdr:from>
    <xdr:to>
      <xdr:col>4</xdr:col>
      <xdr:colOff>9407</xdr:colOff>
      <xdr:row>9</xdr:row>
      <xdr:rowOff>152400</xdr:rowOff>
    </xdr:to>
    <xdr:sp macro="" textlink="">
      <xdr:nvSpPr>
        <xdr:cNvPr id="4" name="Rectangle: Rounded Corners 3">
          <a:extLst>
            <a:ext uri="{FF2B5EF4-FFF2-40B4-BE49-F238E27FC236}">
              <a16:creationId xmlns:a16="http://schemas.microsoft.com/office/drawing/2014/main" id="{FC6701BB-5BB0-741D-2B43-76519416F289}"/>
            </a:ext>
          </a:extLst>
        </xdr:cNvPr>
        <xdr:cNvSpPr/>
      </xdr:nvSpPr>
      <xdr:spPr>
        <a:xfrm>
          <a:off x="0" y="670560"/>
          <a:ext cx="2447807" cy="112776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b="1">
              <a:solidFill>
                <a:schemeClr val="accent1"/>
              </a:solidFill>
            </a:rPr>
            <a:t>             Total</a:t>
          </a:r>
          <a:r>
            <a:rPr lang="en-IN" sz="1800" b="1" baseline="0">
              <a:solidFill>
                <a:schemeClr val="accent1"/>
              </a:solidFill>
            </a:rPr>
            <a:t> </a:t>
          </a:r>
          <a:r>
            <a:rPr lang="en-IN" sz="1800" b="1">
              <a:solidFill>
                <a:schemeClr val="accent1"/>
              </a:solidFill>
            </a:rPr>
            <a:t>Customers</a:t>
          </a:r>
          <a:r>
            <a:rPr lang="en-IN" sz="1800" b="1" baseline="0">
              <a:solidFill>
                <a:schemeClr val="accent1"/>
              </a:solidFill>
            </a:rPr>
            <a:t> </a:t>
          </a:r>
        </a:p>
        <a:p>
          <a:pPr algn="l"/>
          <a:r>
            <a:rPr lang="en-IN" sz="2400" b="1" baseline="0">
              <a:solidFill>
                <a:schemeClr val="tx2"/>
              </a:solidFill>
            </a:rPr>
            <a:t>                     50%</a:t>
          </a:r>
        </a:p>
        <a:p>
          <a:pPr algn="l"/>
          <a:r>
            <a:rPr lang="en-IN" sz="1200" b="1">
              <a:solidFill>
                <a:schemeClr val="accent1"/>
              </a:solidFill>
            </a:rPr>
            <a:t>                                   100%</a:t>
          </a:r>
          <a:r>
            <a:rPr lang="en-IN" sz="1200" b="1" baseline="0">
              <a:solidFill>
                <a:schemeClr val="accent1"/>
              </a:solidFill>
            </a:rPr>
            <a:t> of total</a:t>
          </a:r>
          <a:endParaRPr lang="en-IN" sz="1200" b="1">
            <a:solidFill>
              <a:schemeClr val="accent1"/>
            </a:solidFill>
          </a:endParaRPr>
        </a:p>
      </xdr:txBody>
    </xdr:sp>
    <xdr:clientData/>
  </xdr:twoCellAnchor>
  <xdr:twoCellAnchor>
    <xdr:from>
      <xdr:col>4</xdr:col>
      <xdr:colOff>47037</xdr:colOff>
      <xdr:row>3</xdr:row>
      <xdr:rowOff>112889</xdr:rowOff>
    </xdr:from>
    <xdr:to>
      <xdr:col>8</xdr:col>
      <xdr:colOff>357481</xdr:colOff>
      <xdr:row>10</xdr:row>
      <xdr:rowOff>28224</xdr:rowOff>
    </xdr:to>
    <xdr:sp macro="" textlink="">
      <xdr:nvSpPr>
        <xdr:cNvPr id="6" name="Rectangle: Rounded Corners 5">
          <a:extLst>
            <a:ext uri="{FF2B5EF4-FFF2-40B4-BE49-F238E27FC236}">
              <a16:creationId xmlns:a16="http://schemas.microsoft.com/office/drawing/2014/main" id="{86F38BF4-1A20-57D8-BB63-4BAF5570ABFA}"/>
            </a:ext>
          </a:extLst>
        </xdr:cNvPr>
        <xdr:cNvSpPr/>
      </xdr:nvSpPr>
      <xdr:spPr>
        <a:xfrm>
          <a:off x="2492963" y="649111"/>
          <a:ext cx="2756370" cy="116652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000" b="1">
              <a:solidFill>
                <a:srgbClr val="FF0000"/>
              </a:solidFill>
            </a:rPr>
            <a:t>            </a:t>
          </a:r>
          <a:r>
            <a:rPr lang="en-IN" sz="1800" b="1">
              <a:solidFill>
                <a:srgbClr val="FF0000"/>
              </a:solidFill>
            </a:rPr>
            <a:t>Churn Customers </a:t>
          </a:r>
        </a:p>
        <a:p>
          <a:pPr algn="l"/>
          <a:r>
            <a:rPr lang="en-IN" sz="2400" b="1" baseline="0">
              <a:solidFill>
                <a:srgbClr val="C00000"/>
              </a:solidFill>
            </a:rPr>
            <a:t>                        18</a:t>
          </a:r>
        </a:p>
        <a:p>
          <a:pPr algn="l"/>
          <a:r>
            <a:rPr lang="en-IN" sz="1200" b="1" baseline="0">
              <a:solidFill>
                <a:srgbClr val="C00000"/>
              </a:solidFill>
            </a:rPr>
            <a:t>                                          36% of total</a:t>
          </a:r>
          <a:endParaRPr lang="en-IN" sz="2400" b="1">
            <a:solidFill>
              <a:srgbClr val="C00000"/>
            </a:solidFill>
          </a:endParaRPr>
        </a:p>
      </xdr:txBody>
    </xdr:sp>
    <xdr:clientData/>
  </xdr:twoCellAnchor>
  <xdr:twoCellAnchor>
    <xdr:from>
      <xdr:col>8</xdr:col>
      <xdr:colOff>385703</xdr:colOff>
      <xdr:row>3</xdr:row>
      <xdr:rowOff>131704</xdr:rowOff>
    </xdr:from>
    <xdr:to>
      <xdr:col>12</xdr:col>
      <xdr:colOff>583258</xdr:colOff>
      <xdr:row>10</xdr:row>
      <xdr:rowOff>56445</xdr:rowOff>
    </xdr:to>
    <xdr:sp macro="" textlink="">
      <xdr:nvSpPr>
        <xdr:cNvPr id="7" name="Rectangle: Rounded Corners 6">
          <a:extLst>
            <a:ext uri="{FF2B5EF4-FFF2-40B4-BE49-F238E27FC236}">
              <a16:creationId xmlns:a16="http://schemas.microsoft.com/office/drawing/2014/main" id="{D5A995A6-941F-2BE2-F79E-CC6AF290E528}"/>
            </a:ext>
          </a:extLst>
        </xdr:cNvPr>
        <xdr:cNvSpPr/>
      </xdr:nvSpPr>
      <xdr:spPr>
        <a:xfrm>
          <a:off x="5277555" y="667926"/>
          <a:ext cx="2643481" cy="117592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baseline="0">
              <a:solidFill>
                <a:schemeClr val="accent1"/>
              </a:solidFill>
            </a:rPr>
            <a:t>                        </a:t>
          </a:r>
          <a:r>
            <a:rPr lang="en-IN" sz="1800" b="1" baseline="0">
              <a:solidFill>
                <a:schemeClr val="accent1"/>
              </a:solidFill>
            </a:rPr>
            <a:t>Churn Rate </a:t>
          </a:r>
        </a:p>
        <a:p>
          <a:pPr algn="l"/>
          <a:r>
            <a:rPr lang="en-IN" sz="1800" b="1" baseline="0">
              <a:solidFill>
                <a:schemeClr val="accent1"/>
              </a:solidFill>
            </a:rPr>
            <a:t>                                  </a:t>
          </a:r>
          <a:r>
            <a:rPr lang="en-IN" sz="2400" b="1" baseline="0">
              <a:solidFill>
                <a:schemeClr val="tx2"/>
              </a:solidFill>
            </a:rPr>
            <a:t>36</a:t>
          </a:r>
          <a:r>
            <a:rPr lang="en-IN" sz="1800" b="1" baseline="0">
              <a:solidFill>
                <a:schemeClr val="tx2"/>
              </a:solidFill>
            </a:rPr>
            <a:t>% </a:t>
          </a:r>
        </a:p>
        <a:p>
          <a:pPr algn="l"/>
          <a:r>
            <a:rPr lang="en-IN" sz="1200" b="1" baseline="0">
              <a:solidFill>
                <a:schemeClr val="accent1"/>
              </a:solidFill>
            </a:rPr>
            <a:t>                                      % of total cutomer</a:t>
          </a:r>
        </a:p>
        <a:p>
          <a:pPr algn="l"/>
          <a:r>
            <a:rPr lang="en-IN" sz="1800" b="1">
              <a:solidFill>
                <a:schemeClr val="accent1"/>
              </a:solidFill>
            </a:rPr>
            <a:t>                                  </a:t>
          </a:r>
        </a:p>
      </xdr:txBody>
    </xdr:sp>
    <xdr:clientData/>
  </xdr:twoCellAnchor>
  <xdr:twoCellAnchor>
    <xdr:from>
      <xdr:col>17</xdr:col>
      <xdr:colOff>470371</xdr:colOff>
      <xdr:row>3</xdr:row>
      <xdr:rowOff>141112</xdr:rowOff>
    </xdr:from>
    <xdr:to>
      <xdr:col>22</xdr:col>
      <xdr:colOff>9406</xdr:colOff>
      <xdr:row>10</xdr:row>
      <xdr:rowOff>28223</xdr:rowOff>
    </xdr:to>
    <xdr:sp macro="" textlink="">
      <xdr:nvSpPr>
        <xdr:cNvPr id="8" name="Rectangle: Rounded Corners 7">
          <a:extLst>
            <a:ext uri="{FF2B5EF4-FFF2-40B4-BE49-F238E27FC236}">
              <a16:creationId xmlns:a16="http://schemas.microsoft.com/office/drawing/2014/main" id="{C6216A59-7BA0-1BD4-CC6C-DDCA8B62E989}"/>
            </a:ext>
          </a:extLst>
        </xdr:cNvPr>
        <xdr:cNvSpPr/>
      </xdr:nvSpPr>
      <xdr:spPr>
        <a:xfrm>
          <a:off x="10865556" y="677334"/>
          <a:ext cx="2596443" cy="113829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a:solidFill>
                <a:schemeClr val="accent1"/>
              </a:solidFill>
            </a:rPr>
            <a:t>            </a:t>
          </a:r>
          <a:r>
            <a:rPr lang="en-IN" sz="1800" b="1">
              <a:solidFill>
                <a:schemeClr val="accent1"/>
              </a:solidFill>
            </a:rPr>
            <a:t>Avg Total Spending </a:t>
          </a:r>
        </a:p>
        <a:p>
          <a:pPr algn="l"/>
          <a:r>
            <a:rPr lang="en-IN" sz="1800">
              <a:solidFill>
                <a:schemeClr val="accent1"/>
              </a:solidFill>
            </a:rPr>
            <a:t>                       </a:t>
          </a:r>
          <a:r>
            <a:rPr lang="en-IN" sz="2400" b="1">
              <a:solidFill>
                <a:schemeClr val="tx2"/>
              </a:solidFill>
            </a:rPr>
            <a:t>10,320</a:t>
          </a:r>
          <a:r>
            <a:rPr lang="en-IN" sz="1800" b="1" baseline="0">
              <a:solidFill>
                <a:schemeClr val="tx2"/>
              </a:solidFill>
            </a:rPr>
            <a:t> </a:t>
          </a:r>
        </a:p>
        <a:p>
          <a:pPr algn="l"/>
          <a:r>
            <a:rPr lang="en-IN" sz="1800" baseline="0">
              <a:solidFill>
                <a:schemeClr val="accent1"/>
              </a:solidFill>
            </a:rPr>
            <a:t>                   </a:t>
          </a:r>
          <a:r>
            <a:rPr lang="en-IN" sz="1200" b="1" baseline="0">
              <a:solidFill>
                <a:schemeClr val="accent1"/>
              </a:solidFill>
            </a:rPr>
            <a:t>Across all Customer</a:t>
          </a:r>
          <a:endParaRPr lang="en-IN" sz="1200" b="1">
            <a:solidFill>
              <a:schemeClr val="accent1"/>
            </a:solidFill>
          </a:endParaRPr>
        </a:p>
      </xdr:txBody>
    </xdr:sp>
    <xdr:clientData/>
  </xdr:twoCellAnchor>
  <xdr:twoCellAnchor>
    <xdr:from>
      <xdr:col>13</xdr:col>
      <xdr:colOff>9408</xdr:colOff>
      <xdr:row>3</xdr:row>
      <xdr:rowOff>131704</xdr:rowOff>
    </xdr:from>
    <xdr:to>
      <xdr:col>17</xdr:col>
      <xdr:colOff>442148</xdr:colOff>
      <xdr:row>10</xdr:row>
      <xdr:rowOff>18815</xdr:rowOff>
    </xdr:to>
    <xdr:sp macro="" textlink="">
      <xdr:nvSpPr>
        <xdr:cNvPr id="9" name="Rectangle: Rounded Corners 8">
          <a:extLst>
            <a:ext uri="{FF2B5EF4-FFF2-40B4-BE49-F238E27FC236}">
              <a16:creationId xmlns:a16="http://schemas.microsoft.com/office/drawing/2014/main" id="{6C823752-C9B6-7E96-D76E-5B7F9C5E0F72}"/>
            </a:ext>
          </a:extLst>
        </xdr:cNvPr>
        <xdr:cNvSpPr/>
      </xdr:nvSpPr>
      <xdr:spPr>
        <a:xfrm>
          <a:off x="7958667" y="667926"/>
          <a:ext cx="2878666" cy="113829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b="1">
              <a:solidFill>
                <a:srgbClr val="FF0000"/>
              </a:solidFill>
            </a:rPr>
            <a:t>              High Risk Customers </a:t>
          </a:r>
        </a:p>
        <a:p>
          <a:pPr algn="l"/>
          <a:r>
            <a:rPr lang="en-IN" sz="1800" b="1">
              <a:solidFill>
                <a:srgbClr val="FF0000"/>
              </a:solidFill>
            </a:rPr>
            <a:t>                         </a:t>
          </a:r>
          <a:r>
            <a:rPr lang="en-IN" sz="2400" b="1">
              <a:solidFill>
                <a:srgbClr val="C00000"/>
              </a:solidFill>
            </a:rPr>
            <a:t>18 </a:t>
          </a:r>
        </a:p>
        <a:p>
          <a:pPr algn="l"/>
          <a:r>
            <a:rPr lang="en-IN" sz="1200" b="1">
              <a:solidFill>
                <a:srgbClr val="FF0000"/>
              </a:solidFill>
            </a:rPr>
            <a:t>                                  36% of total</a:t>
          </a:r>
        </a:p>
      </xdr:txBody>
    </xdr:sp>
    <xdr:clientData/>
  </xdr:twoCellAnchor>
  <xdr:twoCellAnchor editAs="oneCell">
    <xdr:from>
      <xdr:col>0</xdr:col>
      <xdr:colOff>81280</xdr:colOff>
      <xdr:row>4</xdr:row>
      <xdr:rowOff>91441</xdr:rowOff>
    </xdr:from>
    <xdr:to>
      <xdr:col>1</xdr:col>
      <xdr:colOff>111760</xdr:colOff>
      <xdr:row>9</xdr:row>
      <xdr:rowOff>91441</xdr:rowOff>
    </xdr:to>
    <xdr:pic>
      <xdr:nvPicPr>
        <xdr:cNvPr id="16" name="Picture 15" descr="Users with solid fill">
          <a:extLst>
            <a:ext uri="{FF2B5EF4-FFF2-40B4-BE49-F238E27FC236}">
              <a16:creationId xmlns:a16="http://schemas.microsoft.com/office/drawing/2014/main" id="{519A5D9E-F402-F2E8-1E5B-23D6F992A10F}"/>
            </a:ext>
          </a:extLst>
        </xdr:cNvPr>
        <xdr:cNvPicPr>
          <a:picLocks noChangeAspect="1"/>
        </xdr:cNvPicPr>
      </xdr:nvPicPr>
      <xdr:blipFill>
        <a:blip xmlns:r="http://schemas.openxmlformats.org/officeDocument/2006/relationships" r:embed="rId1"/>
        <a:stretch>
          <a:fillRect/>
        </a:stretch>
      </xdr:blipFill>
      <xdr:spPr>
        <a:xfrm>
          <a:off x="81280" y="822961"/>
          <a:ext cx="640080" cy="914400"/>
        </a:xfrm>
        <a:prstGeom prst="rect">
          <a:avLst/>
        </a:prstGeom>
      </xdr:spPr>
    </xdr:pic>
    <xdr:clientData/>
  </xdr:twoCellAnchor>
  <xdr:twoCellAnchor editAs="oneCell">
    <xdr:from>
      <xdr:col>4</xdr:col>
      <xdr:colOff>0</xdr:colOff>
      <xdr:row>13</xdr:row>
      <xdr:rowOff>0</xdr:rowOff>
    </xdr:from>
    <xdr:to>
      <xdr:col>5</xdr:col>
      <xdr:colOff>114363</xdr:colOff>
      <xdr:row>15</xdr:row>
      <xdr:rowOff>144824</xdr:rowOff>
    </xdr:to>
    <xdr:pic>
      <xdr:nvPicPr>
        <xdr:cNvPr id="23" name="Picture 22" descr="Users with solid fill">
          <a:extLst>
            <a:ext uri="{FF2B5EF4-FFF2-40B4-BE49-F238E27FC236}">
              <a16:creationId xmlns:a16="http://schemas.microsoft.com/office/drawing/2014/main" id="{F96594F4-8711-9A1E-3B64-9AD4D9EEAECC}"/>
            </a:ext>
          </a:extLst>
        </xdr:cNvPr>
        <xdr:cNvPicPr>
          <a:picLocks noChangeAspect="1"/>
        </xdr:cNvPicPr>
      </xdr:nvPicPr>
      <xdr:blipFill>
        <a:blip xmlns:r="http://schemas.openxmlformats.org/officeDocument/2006/relationships" r:embed="rId2"/>
        <a:stretch>
          <a:fillRect/>
        </a:stretch>
      </xdr:blipFill>
      <xdr:spPr>
        <a:xfrm>
          <a:off x="2438400" y="2377440"/>
          <a:ext cx="723963" cy="510584"/>
        </a:xfrm>
        <a:prstGeom prst="rect">
          <a:avLst/>
        </a:prstGeom>
      </xdr:spPr>
    </xdr:pic>
    <xdr:clientData/>
  </xdr:twoCellAnchor>
  <xdr:twoCellAnchor editAs="oneCell">
    <xdr:from>
      <xdr:col>4</xdr:col>
      <xdr:colOff>0</xdr:colOff>
      <xdr:row>4</xdr:row>
      <xdr:rowOff>142240</xdr:rowOff>
    </xdr:from>
    <xdr:to>
      <xdr:col>5</xdr:col>
      <xdr:colOff>304800</xdr:colOff>
      <xdr:row>9</xdr:row>
      <xdr:rowOff>60960</xdr:rowOff>
    </xdr:to>
    <xdr:pic>
      <xdr:nvPicPr>
        <xdr:cNvPr id="27" name="Graphic 26" descr="User with solid fill">
          <a:extLst>
            <a:ext uri="{FF2B5EF4-FFF2-40B4-BE49-F238E27FC236}">
              <a16:creationId xmlns:a16="http://schemas.microsoft.com/office/drawing/2014/main" id="{ADE70861-5F12-7EF9-3175-A512CB73E0F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38400" y="873760"/>
          <a:ext cx="914400" cy="833120"/>
        </a:xfrm>
        <a:prstGeom prst="rect">
          <a:avLst/>
        </a:prstGeom>
      </xdr:spPr>
    </xdr:pic>
    <xdr:clientData/>
  </xdr:twoCellAnchor>
  <xdr:twoCellAnchor editAs="oneCell">
    <xdr:from>
      <xdr:col>13</xdr:col>
      <xdr:colOff>71120</xdr:colOff>
      <xdr:row>4</xdr:row>
      <xdr:rowOff>60960</xdr:rowOff>
    </xdr:from>
    <xdr:to>
      <xdr:col>14</xdr:col>
      <xdr:colOff>203200</xdr:colOff>
      <xdr:row>9</xdr:row>
      <xdr:rowOff>40640</xdr:rowOff>
    </xdr:to>
    <xdr:pic>
      <xdr:nvPicPr>
        <xdr:cNvPr id="29" name="Graphic 28" descr="Warning with solid fill">
          <a:extLst>
            <a:ext uri="{FF2B5EF4-FFF2-40B4-BE49-F238E27FC236}">
              <a16:creationId xmlns:a16="http://schemas.microsoft.com/office/drawing/2014/main" id="{D5A62BCA-5D86-0058-75C2-79BC0A0BABC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95920" y="792480"/>
          <a:ext cx="741680" cy="894080"/>
        </a:xfrm>
        <a:prstGeom prst="rect">
          <a:avLst/>
        </a:prstGeom>
      </xdr:spPr>
    </xdr:pic>
    <xdr:clientData/>
  </xdr:twoCellAnchor>
  <xdr:twoCellAnchor editAs="oneCell">
    <xdr:from>
      <xdr:col>8</xdr:col>
      <xdr:colOff>548640</xdr:colOff>
      <xdr:row>4</xdr:row>
      <xdr:rowOff>30480</xdr:rowOff>
    </xdr:from>
    <xdr:to>
      <xdr:col>10</xdr:col>
      <xdr:colOff>152400</xdr:colOff>
      <xdr:row>9</xdr:row>
      <xdr:rowOff>60960</xdr:rowOff>
    </xdr:to>
    <xdr:pic>
      <xdr:nvPicPr>
        <xdr:cNvPr id="31" name="Graphic 30" descr="Pie chart with solid fill">
          <a:extLst>
            <a:ext uri="{FF2B5EF4-FFF2-40B4-BE49-F238E27FC236}">
              <a16:creationId xmlns:a16="http://schemas.microsoft.com/office/drawing/2014/main" id="{69AC6C09-E36E-AA57-2553-96424D9F7DC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25440" y="762000"/>
          <a:ext cx="822960" cy="944880"/>
        </a:xfrm>
        <a:prstGeom prst="rect">
          <a:avLst/>
        </a:prstGeom>
      </xdr:spPr>
    </xdr:pic>
    <xdr:clientData/>
  </xdr:twoCellAnchor>
  <xdr:twoCellAnchor editAs="oneCell">
    <xdr:from>
      <xdr:col>17</xdr:col>
      <xdr:colOff>487680</xdr:colOff>
      <xdr:row>5</xdr:row>
      <xdr:rowOff>101600</xdr:rowOff>
    </xdr:from>
    <xdr:to>
      <xdr:col>19</xdr:col>
      <xdr:colOff>182880</xdr:colOff>
      <xdr:row>9</xdr:row>
      <xdr:rowOff>71120</xdr:rowOff>
    </xdr:to>
    <xdr:pic>
      <xdr:nvPicPr>
        <xdr:cNvPr id="33" name="Graphic 32" descr="Money with solid fill">
          <a:extLst>
            <a:ext uri="{FF2B5EF4-FFF2-40B4-BE49-F238E27FC236}">
              <a16:creationId xmlns:a16="http://schemas.microsoft.com/office/drawing/2014/main" id="{BE1EDBCE-1F21-AA60-899E-CC57C12BA53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850880" y="1016000"/>
          <a:ext cx="914400" cy="701040"/>
        </a:xfrm>
        <a:prstGeom prst="rect">
          <a:avLst/>
        </a:prstGeom>
      </xdr:spPr>
    </xdr:pic>
    <xdr:clientData/>
  </xdr:twoCellAnchor>
  <xdr:twoCellAnchor>
    <xdr:from>
      <xdr:col>0</xdr:col>
      <xdr:colOff>81280</xdr:colOff>
      <xdr:row>9</xdr:row>
      <xdr:rowOff>162560</xdr:rowOff>
    </xdr:from>
    <xdr:to>
      <xdr:col>3</xdr:col>
      <xdr:colOff>579120</xdr:colOff>
      <xdr:row>12</xdr:row>
      <xdr:rowOff>20320</xdr:rowOff>
    </xdr:to>
    <xdr:sp macro="" textlink="">
      <xdr:nvSpPr>
        <xdr:cNvPr id="3" name="Rectangle 2">
          <a:extLst>
            <a:ext uri="{FF2B5EF4-FFF2-40B4-BE49-F238E27FC236}">
              <a16:creationId xmlns:a16="http://schemas.microsoft.com/office/drawing/2014/main" id="{23BB5DFB-C632-B00A-5747-1AF6D5329C49}"/>
            </a:ext>
          </a:extLst>
        </xdr:cNvPr>
        <xdr:cNvSpPr/>
      </xdr:nvSpPr>
      <xdr:spPr>
        <a:xfrm>
          <a:off x="81280" y="1808480"/>
          <a:ext cx="2326640" cy="406400"/>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baseline="0"/>
            <a:t>              </a:t>
          </a:r>
          <a:r>
            <a:rPr lang="en-IN" sz="2000" b="1" baseline="0"/>
            <a:t>FILTERS</a:t>
          </a:r>
          <a:endParaRPr lang="en-IN" sz="2000" b="1"/>
        </a:p>
      </xdr:txBody>
    </xdr:sp>
    <xdr:clientData/>
  </xdr:twoCellAnchor>
  <xdr:twoCellAnchor editAs="oneCell">
    <xdr:from>
      <xdr:col>2</xdr:col>
      <xdr:colOff>375920</xdr:colOff>
      <xdr:row>0</xdr:row>
      <xdr:rowOff>30480</xdr:rowOff>
    </xdr:from>
    <xdr:to>
      <xdr:col>4</xdr:col>
      <xdr:colOff>71120</xdr:colOff>
      <xdr:row>3</xdr:row>
      <xdr:rowOff>40640</xdr:rowOff>
    </xdr:to>
    <xdr:pic>
      <xdr:nvPicPr>
        <xdr:cNvPr id="13" name="Graphic 12" descr="Chevron arrows with solid fill">
          <a:extLst>
            <a:ext uri="{FF2B5EF4-FFF2-40B4-BE49-F238E27FC236}">
              <a16:creationId xmlns:a16="http://schemas.microsoft.com/office/drawing/2014/main" id="{78753A26-BD6B-51A3-A866-4E39F581566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95120" y="30480"/>
          <a:ext cx="914400" cy="558800"/>
        </a:xfrm>
        <a:prstGeom prst="rect">
          <a:avLst/>
        </a:prstGeom>
      </xdr:spPr>
    </xdr:pic>
    <xdr:clientData/>
  </xdr:twoCellAnchor>
  <xdr:twoCellAnchor editAs="oneCell">
    <xdr:from>
      <xdr:col>18</xdr:col>
      <xdr:colOff>30480</xdr:colOff>
      <xdr:row>0</xdr:row>
      <xdr:rowOff>60960</xdr:rowOff>
    </xdr:from>
    <xdr:to>
      <xdr:col>19</xdr:col>
      <xdr:colOff>335280</xdr:colOff>
      <xdr:row>3</xdr:row>
      <xdr:rowOff>60960</xdr:rowOff>
    </xdr:to>
    <xdr:pic>
      <xdr:nvPicPr>
        <xdr:cNvPr id="15" name="Graphic 14" descr="Chevron arrows with solid fill">
          <a:extLst>
            <a:ext uri="{FF2B5EF4-FFF2-40B4-BE49-F238E27FC236}">
              <a16:creationId xmlns:a16="http://schemas.microsoft.com/office/drawing/2014/main" id="{BA95CECC-EBEF-0D76-1735-A5F54322F09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003280" y="60960"/>
          <a:ext cx="914400" cy="548640"/>
        </a:xfrm>
        <a:prstGeom prst="rect">
          <a:avLst/>
        </a:prstGeom>
      </xdr:spPr>
    </xdr:pic>
    <xdr:clientData/>
  </xdr:twoCellAnchor>
  <xdr:twoCellAnchor>
    <xdr:from>
      <xdr:col>4</xdr:col>
      <xdr:colOff>81280</xdr:colOff>
      <xdr:row>12</xdr:row>
      <xdr:rowOff>142240</xdr:rowOff>
    </xdr:from>
    <xdr:to>
      <xdr:col>13</xdr:col>
      <xdr:colOff>193040</xdr:colOff>
      <xdr:row>27</xdr:row>
      <xdr:rowOff>132080</xdr:rowOff>
    </xdr:to>
    <xdr:graphicFrame macro="">
      <xdr:nvGraphicFramePr>
        <xdr:cNvPr id="18" name="Chart 17">
          <a:extLst>
            <a:ext uri="{FF2B5EF4-FFF2-40B4-BE49-F238E27FC236}">
              <a16:creationId xmlns:a16="http://schemas.microsoft.com/office/drawing/2014/main" id="{465C93AE-3EF2-4411-8B7E-5761F70E4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91440</xdr:colOff>
      <xdr:row>30</xdr:row>
      <xdr:rowOff>142240</xdr:rowOff>
    </xdr:from>
    <xdr:to>
      <xdr:col>13</xdr:col>
      <xdr:colOff>223520</xdr:colOff>
      <xdr:row>46</xdr:row>
      <xdr:rowOff>101600</xdr:rowOff>
    </xdr:to>
    <xdr:graphicFrame macro="">
      <xdr:nvGraphicFramePr>
        <xdr:cNvPr id="20" name="Chart 19">
          <a:extLst>
            <a:ext uri="{FF2B5EF4-FFF2-40B4-BE49-F238E27FC236}">
              <a16:creationId xmlns:a16="http://schemas.microsoft.com/office/drawing/2014/main" id="{A1AFEA54-1BEB-4658-997E-D42E7CD27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457200</xdr:colOff>
      <xdr:row>12</xdr:row>
      <xdr:rowOff>132080</xdr:rowOff>
    </xdr:from>
    <xdr:to>
      <xdr:col>22</xdr:col>
      <xdr:colOff>132080</xdr:colOff>
      <xdr:row>27</xdr:row>
      <xdr:rowOff>121920</xdr:rowOff>
    </xdr:to>
    <xdr:graphicFrame macro="">
      <xdr:nvGraphicFramePr>
        <xdr:cNvPr id="22" name="Chart 21">
          <a:extLst>
            <a:ext uri="{FF2B5EF4-FFF2-40B4-BE49-F238E27FC236}">
              <a16:creationId xmlns:a16="http://schemas.microsoft.com/office/drawing/2014/main" id="{9BAA5034-143B-4E8F-B61F-B97211645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487680</xdr:colOff>
      <xdr:row>30</xdr:row>
      <xdr:rowOff>172720</xdr:rowOff>
    </xdr:from>
    <xdr:to>
      <xdr:col>22</xdr:col>
      <xdr:colOff>152400</xdr:colOff>
      <xdr:row>46</xdr:row>
      <xdr:rowOff>152400</xdr:rowOff>
    </xdr:to>
    <xdr:graphicFrame macro="">
      <xdr:nvGraphicFramePr>
        <xdr:cNvPr id="25" name="Chart 24">
          <a:extLst>
            <a:ext uri="{FF2B5EF4-FFF2-40B4-BE49-F238E27FC236}">
              <a16:creationId xmlns:a16="http://schemas.microsoft.com/office/drawing/2014/main" id="{262342B7-41A9-4A11-BAD7-5DDB51C2D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10160</xdr:colOff>
      <xdr:row>13</xdr:row>
      <xdr:rowOff>71120</xdr:rowOff>
    </xdr:from>
    <xdr:to>
      <xdr:col>4</xdr:col>
      <xdr:colOff>0</xdr:colOff>
      <xdr:row>21</xdr:row>
      <xdr:rowOff>60960</xdr:rowOff>
    </xdr:to>
    <mc:AlternateContent xmlns:mc="http://schemas.openxmlformats.org/markup-compatibility/2006" xmlns:a14="http://schemas.microsoft.com/office/drawing/2010/main">
      <mc:Choice Requires="a14">
        <xdr:graphicFrame macro="">
          <xdr:nvGraphicFramePr>
            <xdr:cNvPr id="28" name="Region 1">
              <a:extLst>
                <a:ext uri="{FF2B5EF4-FFF2-40B4-BE49-F238E27FC236}">
                  <a16:creationId xmlns:a16="http://schemas.microsoft.com/office/drawing/2014/main" id="{6788EBFA-1D4E-4C8C-B456-100490A230C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60" y="2382520"/>
              <a:ext cx="2428240" cy="1412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60960</xdr:rowOff>
    </xdr:from>
    <xdr:to>
      <xdr:col>4</xdr:col>
      <xdr:colOff>0</xdr:colOff>
      <xdr:row>28</xdr:row>
      <xdr:rowOff>152400</xdr:rowOff>
    </xdr:to>
    <mc:AlternateContent xmlns:mc="http://schemas.openxmlformats.org/markup-compatibility/2006" xmlns:a14="http://schemas.microsoft.com/office/drawing/2010/main">
      <mc:Choice Requires="a14">
        <xdr:graphicFrame macro="">
          <xdr:nvGraphicFramePr>
            <xdr:cNvPr id="32" name="Risk_level 3">
              <a:extLst>
                <a:ext uri="{FF2B5EF4-FFF2-40B4-BE49-F238E27FC236}">
                  <a16:creationId xmlns:a16="http://schemas.microsoft.com/office/drawing/2014/main" id="{375AF3B9-5A59-46AA-BF2E-9113FFA66EAF}"/>
                </a:ext>
              </a:extLst>
            </xdr:cNvPr>
            <xdr:cNvGraphicFramePr/>
          </xdr:nvGraphicFramePr>
          <xdr:xfrm>
            <a:off x="0" y="0"/>
            <a:ext cx="0" cy="0"/>
          </xdr:xfrm>
          <a:graphic>
            <a:graphicData uri="http://schemas.microsoft.com/office/drawing/2010/slicer">
              <sle:slicer xmlns:sle="http://schemas.microsoft.com/office/drawing/2010/slicer" name="Risk_level 3"/>
            </a:graphicData>
          </a:graphic>
        </xdr:graphicFrame>
      </mc:Choice>
      <mc:Fallback xmlns="">
        <xdr:sp macro="" textlink="">
          <xdr:nvSpPr>
            <xdr:cNvPr id="0" name=""/>
            <xdr:cNvSpPr>
              <a:spLocks noTextEdit="1"/>
            </xdr:cNvSpPr>
          </xdr:nvSpPr>
          <xdr:spPr>
            <a:xfrm>
              <a:off x="0" y="3794760"/>
              <a:ext cx="2438400" cy="1336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162560</xdr:rowOff>
    </xdr:from>
    <xdr:to>
      <xdr:col>4</xdr:col>
      <xdr:colOff>0</xdr:colOff>
      <xdr:row>37</xdr:row>
      <xdr:rowOff>40640</xdr:rowOff>
    </xdr:to>
    <mc:AlternateContent xmlns:mc="http://schemas.openxmlformats.org/markup-compatibility/2006" xmlns:a14="http://schemas.microsoft.com/office/drawing/2010/main">
      <mc:Choice Requires="a14">
        <xdr:graphicFrame macro="">
          <xdr:nvGraphicFramePr>
            <xdr:cNvPr id="37" name="Discount_Used 1">
              <a:extLst>
                <a:ext uri="{FF2B5EF4-FFF2-40B4-BE49-F238E27FC236}">
                  <a16:creationId xmlns:a16="http://schemas.microsoft.com/office/drawing/2014/main" id="{B3247522-ACDC-44C7-8C92-4721A1D6D05A}"/>
                </a:ext>
              </a:extLst>
            </xdr:cNvPr>
            <xdr:cNvGraphicFramePr/>
          </xdr:nvGraphicFramePr>
          <xdr:xfrm>
            <a:off x="0" y="0"/>
            <a:ext cx="0" cy="0"/>
          </xdr:xfrm>
          <a:graphic>
            <a:graphicData uri="http://schemas.microsoft.com/office/drawing/2010/slicer">
              <sle:slicer xmlns:sle="http://schemas.microsoft.com/office/drawing/2010/slicer" name="Discount_Used 1"/>
            </a:graphicData>
          </a:graphic>
        </xdr:graphicFrame>
      </mc:Choice>
      <mc:Fallback xmlns="">
        <xdr:sp macro="" textlink="">
          <xdr:nvSpPr>
            <xdr:cNvPr id="0" name=""/>
            <xdr:cNvSpPr>
              <a:spLocks noTextEdit="1"/>
            </xdr:cNvSpPr>
          </xdr:nvSpPr>
          <xdr:spPr>
            <a:xfrm>
              <a:off x="0" y="5140960"/>
              <a:ext cx="24384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20320</xdr:colOff>
      <xdr:row>37</xdr:row>
      <xdr:rowOff>60960</xdr:rowOff>
    </xdr:from>
    <xdr:to>
      <xdr:col>4</xdr:col>
      <xdr:colOff>10160</xdr:colOff>
      <xdr:row>45</xdr:row>
      <xdr:rowOff>172720</xdr:rowOff>
    </xdr:to>
    <mc:AlternateContent xmlns:mc="http://schemas.openxmlformats.org/markup-compatibility/2006" xmlns:a14="http://schemas.microsoft.com/office/drawing/2010/main">
      <mc:Choice Requires="a14">
        <xdr:graphicFrame macro="">
          <xdr:nvGraphicFramePr>
            <xdr:cNvPr id="41" name="Customer segment 3">
              <a:extLst>
                <a:ext uri="{FF2B5EF4-FFF2-40B4-BE49-F238E27FC236}">
                  <a16:creationId xmlns:a16="http://schemas.microsoft.com/office/drawing/2014/main" id="{8E63607E-CA3B-4B70-9A0A-636118DDB4E5}"/>
                </a:ext>
              </a:extLst>
            </xdr:cNvPr>
            <xdr:cNvGraphicFramePr/>
          </xdr:nvGraphicFramePr>
          <xdr:xfrm>
            <a:off x="0" y="0"/>
            <a:ext cx="0" cy="0"/>
          </xdr:xfrm>
          <a:graphic>
            <a:graphicData uri="http://schemas.microsoft.com/office/drawing/2010/slicer">
              <sle:slicer xmlns:sle="http://schemas.microsoft.com/office/drawing/2010/slicer" name="Customer segment 3"/>
            </a:graphicData>
          </a:graphic>
        </xdr:graphicFrame>
      </mc:Choice>
      <mc:Fallback xmlns="">
        <xdr:sp macro="" textlink="">
          <xdr:nvSpPr>
            <xdr:cNvPr id="0" name=""/>
            <xdr:cNvSpPr>
              <a:spLocks noTextEdit="1"/>
            </xdr:cNvSpPr>
          </xdr:nvSpPr>
          <xdr:spPr>
            <a:xfrm>
              <a:off x="20320" y="6639560"/>
              <a:ext cx="2428240" cy="1534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101600</xdr:colOff>
      <xdr:row>10</xdr:row>
      <xdr:rowOff>121920</xdr:rowOff>
    </xdr:from>
    <xdr:to>
      <xdr:col>13</xdr:col>
      <xdr:colOff>182880</xdr:colOff>
      <xdr:row>12</xdr:row>
      <xdr:rowOff>152400</xdr:rowOff>
    </xdr:to>
    <xdr:sp macro="" textlink="">
      <xdr:nvSpPr>
        <xdr:cNvPr id="43" name="Rectangle: Rounded Corners 42">
          <a:extLst>
            <a:ext uri="{FF2B5EF4-FFF2-40B4-BE49-F238E27FC236}">
              <a16:creationId xmlns:a16="http://schemas.microsoft.com/office/drawing/2014/main" id="{C34EE071-71F6-30B2-76FB-FA7DB0A02BAF}"/>
            </a:ext>
          </a:extLst>
        </xdr:cNvPr>
        <xdr:cNvSpPr/>
      </xdr:nvSpPr>
      <xdr:spPr>
        <a:xfrm>
          <a:off x="2540000" y="1950720"/>
          <a:ext cx="5567680" cy="396240"/>
        </a:xfrm>
        <a:prstGeom prst="roundRect">
          <a:avLst/>
        </a:prstGeom>
        <a:solidFill>
          <a:schemeClr val="tx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b="1" baseline="0">
              <a:solidFill>
                <a:schemeClr val="bg1"/>
              </a:solidFill>
            </a:rPr>
            <a:t>                                     CHURN  BY  REGION</a:t>
          </a:r>
          <a:endParaRPr lang="en-IN" sz="1800" b="1">
            <a:solidFill>
              <a:schemeClr val="bg1"/>
            </a:solidFill>
          </a:endParaRPr>
        </a:p>
      </xdr:txBody>
    </xdr:sp>
    <xdr:clientData/>
  </xdr:twoCellAnchor>
  <xdr:twoCellAnchor>
    <xdr:from>
      <xdr:col>13</xdr:col>
      <xdr:colOff>345440</xdr:colOff>
      <xdr:row>10</xdr:row>
      <xdr:rowOff>132080</xdr:rowOff>
    </xdr:from>
    <xdr:to>
      <xdr:col>22</xdr:col>
      <xdr:colOff>114300</xdr:colOff>
      <xdr:row>12</xdr:row>
      <xdr:rowOff>76200</xdr:rowOff>
    </xdr:to>
    <xdr:sp macro="" textlink="">
      <xdr:nvSpPr>
        <xdr:cNvPr id="44" name="Rectangle: Rounded Corners 43">
          <a:extLst>
            <a:ext uri="{FF2B5EF4-FFF2-40B4-BE49-F238E27FC236}">
              <a16:creationId xmlns:a16="http://schemas.microsoft.com/office/drawing/2014/main" id="{4486DC0F-0287-311A-86F3-7A5F3AE0BEA3}"/>
            </a:ext>
          </a:extLst>
        </xdr:cNvPr>
        <xdr:cNvSpPr/>
      </xdr:nvSpPr>
      <xdr:spPr>
        <a:xfrm>
          <a:off x="8270240" y="1910080"/>
          <a:ext cx="5255260" cy="299720"/>
        </a:xfrm>
        <a:prstGeom prst="roundRect">
          <a:avLst/>
        </a:prstGeom>
        <a:solidFill>
          <a:schemeClr val="tx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b="1">
              <a:solidFill>
                <a:schemeClr val="bg1"/>
              </a:solidFill>
            </a:rPr>
            <a:t>                             RISK  LEVEL  DISTRIBUTION </a:t>
          </a:r>
        </a:p>
      </xdr:txBody>
    </xdr:sp>
    <xdr:clientData/>
  </xdr:twoCellAnchor>
  <xdr:twoCellAnchor>
    <xdr:from>
      <xdr:col>4</xdr:col>
      <xdr:colOff>40640</xdr:colOff>
      <xdr:row>28</xdr:row>
      <xdr:rowOff>91440</xdr:rowOff>
    </xdr:from>
    <xdr:to>
      <xdr:col>13</xdr:col>
      <xdr:colOff>213360</xdr:colOff>
      <xdr:row>30</xdr:row>
      <xdr:rowOff>152400</xdr:rowOff>
    </xdr:to>
    <xdr:sp macro="" textlink="">
      <xdr:nvSpPr>
        <xdr:cNvPr id="45" name="Rectangle: Rounded Corners 44">
          <a:extLst>
            <a:ext uri="{FF2B5EF4-FFF2-40B4-BE49-F238E27FC236}">
              <a16:creationId xmlns:a16="http://schemas.microsoft.com/office/drawing/2014/main" id="{DDC459D3-A63F-7507-4724-27A6AD80D492}"/>
            </a:ext>
          </a:extLst>
        </xdr:cNvPr>
        <xdr:cNvSpPr/>
      </xdr:nvSpPr>
      <xdr:spPr>
        <a:xfrm>
          <a:off x="2479040" y="5212080"/>
          <a:ext cx="5659120" cy="426720"/>
        </a:xfrm>
        <a:prstGeom prst="roundRect">
          <a:avLst/>
        </a:prstGeom>
        <a:solidFill>
          <a:schemeClr val="tx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b="1">
              <a:solidFill>
                <a:schemeClr val="bg1"/>
              </a:solidFill>
            </a:rPr>
            <a:t>                  AVG  SPENDING &amp; ORDER  BY  RISK  LEVEL</a:t>
          </a:r>
        </a:p>
      </xdr:txBody>
    </xdr:sp>
    <xdr:clientData/>
  </xdr:twoCellAnchor>
  <xdr:twoCellAnchor>
    <xdr:from>
      <xdr:col>13</xdr:col>
      <xdr:colOff>457200</xdr:colOff>
      <xdr:row>28</xdr:row>
      <xdr:rowOff>121920</xdr:rowOff>
    </xdr:from>
    <xdr:to>
      <xdr:col>22</xdr:col>
      <xdr:colOff>152400</xdr:colOff>
      <xdr:row>30</xdr:row>
      <xdr:rowOff>152400</xdr:rowOff>
    </xdr:to>
    <xdr:sp macro="" textlink="">
      <xdr:nvSpPr>
        <xdr:cNvPr id="46" name="Rectangle: Rounded Corners 45">
          <a:extLst>
            <a:ext uri="{FF2B5EF4-FFF2-40B4-BE49-F238E27FC236}">
              <a16:creationId xmlns:a16="http://schemas.microsoft.com/office/drawing/2014/main" id="{D190EA20-C9F4-3364-CF0D-AB4BD6C8E9D2}"/>
            </a:ext>
          </a:extLst>
        </xdr:cNvPr>
        <xdr:cNvSpPr/>
      </xdr:nvSpPr>
      <xdr:spPr>
        <a:xfrm>
          <a:off x="8382000" y="5242560"/>
          <a:ext cx="5181600" cy="396240"/>
        </a:xfrm>
        <a:prstGeom prst="roundRect">
          <a:avLst/>
        </a:prstGeom>
        <a:solidFill>
          <a:schemeClr val="tx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b="1">
              <a:solidFill>
                <a:schemeClr val="bg1"/>
              </a:solidFill>
            </a:rPr>
            <a:t>                    CHURN  BY  LAST  PURCHASE  DAYS</a:t>
          </a:r>
        </a:p>
      </xdr:txBody>
    </xdr:sp>
    <xdr:clientData/>
  </xdr:twoCellAnchor>
  <xdr:twoCellAnchor>
    <xdr:from>
      <xdr:col>0</xdr:col>
      <xdr:colOff>50800</xdr:colOff>
      <xdr:row>47</xdr:row>
      <xdr:rowOff>35720</xdr:rowOff>
    </xdr:from>
    <xdr:to>
      <xdr:col>22</xdr:col>
      <xdr:colOff>294640</xdr:colOff>
      <xdr:row>57</xdr:row>
      <xdr:rowOff>59532</xdr:rowOff>
    </xdr:to>
    <xdr:sp macro="" textlink="">
      <xdr:nvSpPr>
        <xdr:cNvPr id="47" name="Rectangle: Rounded Corners 46">
          <a:extLst>
            <a:ext uri="{FF2B5EF4-FFF2-40B4-BE49-F238E27FC236}">
              <a16:creationId xmlns:a16="http://schemas.microsoft.com/office/drawing/2014/main" id="{FEFDF813-D5AD-ED5F-A60B-E309B78D4A36}"/>
            </a:ext>
          </a:extLst>
        </xdr:cNvPr>
        <xdr:cNvSpPr/>
      </xdr:nvSpPr>
      <xdr:spPr>
        <a:xfrm>
          <a:off x="50800" y="8429626"/>
          <a:ext cx="13602653" cy="1809750"/>
        </a:xfrm>
        <a:prstGeom prst="roundRect">
          <a:avLst/>
        </a:prstGeom>
        <a:solidFill>
          <a:schemeClr val="tx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2800" b="1">
              <a:solidFill>
                <a:schemeClr val="bg1"/>
              </a:solidFill>
            </a:rPr>
            <a:t>                     </a:t>
          </a:r>
        </a:p>
        <a:p>
          <a:pPr algn="l"/>
          <a:r>
            <a:rPr lang="en-IN" sz="2800" b="1">
              <a:solidFill>
                <a:schemeClr val="bg1"/>
              </a:solidFill>
            </a:rPr>
            <a:t>                  KEY BUSINESS</a:t>
          </a:r>
        </a:p>
        <a:p>
          <a:pPr algn="l"/>
          <a:r>
            <a:rPr lang="en-IN" sz="2800" b="1">
              <a:solidFill>
                <a:schemeClr val="bg1"/>
              </a:solidFill>
            </a:rPr>
            <a:t>                  INSIGHTS </a:t>
          </a:r>
        </a:p>
      </xdr:txBody>
    </xdr:sp>
    <xdr:clientData/>
  </xdr:twoCellAnchor>
  <xdr:twoCellAnchor>
    <xdr:from>
      <xdr:col>6</xdr:col>
      <xdr:colOff>96361</xdr:colOff>
      <xdr:row>47</xdr:row>
      <xdr:rowOff>6350</xdr:rowOff>
    </xdr:from>
    <xdr:to>
      <xdr:col>22</xdr:col>
      <xdr:colOff>269081</xdr:colOff>
      <xdr:row>57</xdr:row>
      <xdr:rowOff>93504</xdr:rowOff>
    </xdr:to>
    <xdr:sp macro="" textlink="">
      <xdr:nvSpPr>
        <xdr:cNvPr id="48" name="Rectangle 47">
          <a:extLst>
            <a:ext uri="{FF2B5EF4-FFF2-40B4-BE49-F238E27FC236}">
              <a16:creationId xmlns:a16="http://schemas.microsoft.com/office/drawing/2014/main" id="{C2E2EC61-387A-2795-368F-BFD12234B463}"/>
            </a:ext>
          </a:extLst>
        </xdr:cNvPr>
        <xdr:cNvSpPr/>
      </xdr:nvSpPr>
      <xdr:spPr>
        <a:xfrm>
          <a:off x="3739674" y="8400256"/>
          <a:ext cx="9888220" cy="187309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600" b="1">
              <a:solidFill>
                <a:schemeClr val="tx1"/>
              </a:solidFill>
            </a:rPr>
            <a:t>     </a:t>
          </a:r>
        </a:p>
        <a:p>
          <a:pPr algn="l"/>
          <a:r>
            <a:rPr lang="en-IN" sz="1600" b="1">
              <a:solidFill>
                <a:schemeClr val="tx1"/>
              </a:solidFill>
            </a:rPr>
            <a:t>               High churn observed</a:t>
          </a:r>
          <a:r>
            <a:rPr lang="en-IN" sz="1600" b="1" baseline="0">
              <a:solidFill>
                <a:schemeClr val="tx1"/>
              </a:solidFill>
            </a:rPr>
            <a:t> in North region.                         High number of complaints is strongly</a:t>
          </a:r>
        </a:p>
        <a:p>
          <a:pPr algn="l"/>
          <a:r>
            <a:rPr lang="en-IN" sz="1600" b="1" baseline="0">
              <a:solidFill>
                <a:schemeClr val="tx1"/>
              </a:solidFill>
            </a:rPr>
            <a:t>                                                                                                                            linked to higher churn.</a:t>
          </a:r>
        </a:p>
        <a:p>
          <a:pPr algn="l"/>
          <a:r>
            <a:rPr lang="en-IN" sz="1600" b="1" baseline="0">
              <a:solidFill>
                <a:schemeClr val="tx1"/>
              </a:solidFill>
            </a:rPr>
            <a:t>                Inactive customers(&gt;60 days) are                                                     </a:t>
          </a:r>
        </a:p>
        <a:p>
          <a:pPr algn="l"/>
          <a:r>
            <a:rPr lang="en-IN" sz="1600" b="1" baseline="0">
              <a:solidFill>
                <a:schemeClr val="tx1"/>
              </a:solidFill>
            </a:rPr>
            <a:t>                 most likely to churn.                                                            Low engagement (low orders) increases</a:t>
          </a:r>
        </a:p>
        <a:p>
          <a:pPr algn="l"/>
          <a:r>
            <a:rPr lang="en-IN" sz="1600" b="1">
              <a:solidFill>
                <a:schemeClr val="tx1"/>
              </a:solidFill>
            </a:rPr>
            <a:t>                                                                                                                            </a:t>
          </a:r>
          <a:r>
            <a:rPr lang="en-IN" sz="1600" b="1">
              <a:solidFill>
                <a:schemeClr val="dk1"/>
              </a:solidFill>
              <a:effectLst/>
              <a:latin typeface="+mn-lt"/>
              <a:ea typeface="+mn-ea"/>
              <a:cs typeface="+mn-cs"/>
            </a:rPr>
            <a:t>churn</a:t>
          </a:r>
          <a:r>
            <a:rPr lang="en-IN" sz="1600" b="1" baseline="0">
              <a:solidFill>
                <a:schemeClr val="dk1"/>
              </a:solidFill>
              <a:effectLst/>
              <a:latin typeface="+mn-lt"/>
              <a:ea typeface="+mn-ea"/>
              <a:cs typeface="+mn-cs"/>
            </a:rPr>
            <a:t> probability.</a:t>
          </a:r>
          <a:endParaRPr lang="en-IN" sz="1600" b="1">
            <a:solidFill>
              <a:schemeClr val="tx1"/>
            </a:solidFill>
          </a:endParaRPr>
        </a:p>
        <a:p>
          <a:pPr algn="l"/>
          <a:r>
            <a:rPr lang="en-IN" sz="1600" b="1">
              <a:solidFill>
                <a:schemeClr val="tx1"/>
              </a:solidFill>
            </a:rPr>
            <a:t>      </a:t>
          </a:r>
          <a:r>
            <a:rPr lang="en-IN" sz="1600" b="1" baseline="0">
              <a:solidFill>
                <a:schemeClr val="tx1"/>
              </a:solidFill>
            </a:rPr>
            <a:t>            Focus on high risk customers.</a:t>
          </a:r>
          <a:r>
            <a:rPr lang="en-IN" sz="1600" b="1">
              <a:solidFill>
                <a:schemeClr val="tx1"/>
              </a:solidFill>
            </a:rPr>
            <a:t>                                                                                                            </a:t>
          </a:r>
          <a:r>
            <a:rPr lang="en-IN" sz="1600" b="1" baseline="0">
              <a:solidFill>
                <a:schemeClr val="tx1"/>
              </a:solidFill>
            </a:rPr>
            <a:t>  </a:t>
          </a:r>
          <a:r>
            <a:rPr lang="en-IN" sz="1600" b="1">
              <a:solidFill>
                <a:schemeClr val="tx1"/>
              </a:solidFill>
            </a:rPr>
            <a:t> </a:t>
          </a:r>
        </a:p>
      </xdr:txBody>
    </xdr:sp>
    <xdr:clientData/>
  </xdr:twoCellAnchor>
  <xdr:twoCellAnchor editAs="oneCell">
    <xdr:from>
      <xdr:col>0</xdr:col>
      <xdr:colOff>254000</xdr:colOff>
      <xdr:row>49</xdr:row>
      <xdr:rowOff>172720</xdr:rowOff>
    </xdr:from>
    <xdr:to>
      <xdr:col>1</xdr:col>
      <xdr:colOff>558800</xdr:colOff>
      <xdr:row>54</xdr:row>
      <xdr:rowOff>172720</xdr:rowOff>
    </xdr:to>
    <xdr:pic>
      <xdr:nvPicPr>
        <xdr:cNvPr id="50" name="Graphic 49" descr="Lightbulb and gear with solid fill">
          <a:extLst>
            <a:ext uri="{FF2B5EF4-FFF2-40B4-BE49-F238E27FC236}">
              <a16:creationId xmlns:a16="http://schemas.microsoft.com/office/drawing/2014/main" id="{671588FA-2E0B-5B18-9357-DC5DB64360F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54000" y="9133840"/>
          <a:ext cx="914400" cy="914400"/>
        </a:xfrm>
        <a:prstGeom prst="rect">
          <a:avLst/>
        </a:prstGeom>
      </xdr:spPr>
    </xdr:pic>
    <xdr:clientData/>
  </xdr:twoCellAnchor>
  <xdr:twoCellAnchor>
    <xdr:from>
      <xdr:col>6</xdr:col>
      <xdr:colOff>447040</xdr:colOff>
      <xdr:row>49</xdr:row>
      <xdr:rowOff>60960</xdr:rowOff>
    </xdr:from>
    <xdr:to>
      <xdr:col>7</xdr:col>
      <xdr:colOff>81280</xdr:colOff>
      <xdr:row>50</xdr:row>
      <xdr:rowOff>30480</xdr:rowOff>
    </xdr:to>
    <xdr:sp macro="" textlink="">
      <xdr:nvSpPr>
        <xdr:cNvPr id="51" name="Arrow: Notched Right 50">
          <a:extLst>
            <a:ext uri="{FF2B5EF4-FFF2-40B4-BE49-F238E27FC236}">
              <a16:creationId xmlns:a16="http://schemas.microsoft.com/office/drawing/2014/main" id="{47305669-14F2-29DC-3E8E-B6C7FFF896C8}"/>
            </a:ext>
          </a:extLst>
        </xdr:cNvPr>
        <xdr:cNvSpPr/>
      </xdr:nvSpPr>
      <xdr:spPr>
        <a:xfrm>
          <a:off x="4104640" y="9022080"/>
          <a:ext cx="243840" cy="152400"/>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477520</xdr:colOff>
      <xdr:row>52</xdr:row>
      <xdr:rowOff>30480</xdr:rowOff>
    </xdr:from>
    <xdr:to>
      <xdr:col>7</xdr:col>
      <xdr:colOff>121920</xdr:colOff>
      <xdr:row>53</xdr:row>
      <xdr:rowOff>10159</xdr:rowOff>
    </xdr:to>
    <xdr:sp macro="" textlink="">
      <xdr:nvSpPr>
        <xdr:cNvPr id="52" name="Arrow: Notched Right 51">
          <a:extLst>
            <a:ext uri="{FF2B5EF4-FFF2-40B4-BE49-F238E27FC236}">
              <a16:creationId xmlns:a16="http://schemas.microsoft.com/office/drawing/2014/main" id="{BAF06672-1120-80D4-69BA-A06CFAB250A6}"/>
            </a:ext>
          </a:extLst>
        </xdr:cNvPr>
        <xdr:cNvSpPr/>
      </xdr:nvSpPr>
      <xdr:spPr>
        <a:xfrm flipV="1">
          <a:off x="4135120" y="9540240"/>
          <a:ext cx="254000" cy="162559"/>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233680</xdr:colOff>
      <xdr:row>49</xdr:row>
      <xdr:rowOff>101600</xdr:rowOff>
    </xdr:from>
    <xdr:to>
      <xdr:col>13</xdr:col>
      <xdr:colOff>416560</xdr:colOff>
      <xdr:row>50</xdr:row>
      <xdr:rowOff>50800</xdr:rowOff>
    </xdr:to>
    <xdr:sp macro="" textlink="">
      <xdr:nvSpPr>
        <xdr:cNvPr id="53" name="Arrow: Notched Right 52">
          <a:extLst>
            <a:ext uri="{FF2B5EF4-FFF2-40B4-BE49-F238E27FC236}">
              <a16:creationId xmlns:a16="http://schemas.microsoft.com/office/drawing/2014/main" id="{369D1982-7842-5076-7298-DFDE5B0E6A90}"/>
            </a:ext>
          </a:extLst>
        </xdr:cNvPr>
        <xdr:cNvSpPr/>
      </xdr:nvSpPr>
      <xdr:spPr>
        <a:xfrm>
          <a:off x="8158480" y="9062720"/>
          <a:ext cx="182880" cy="132080"/>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193040</xdr:colOff>
      <xdr:row>53</xdr:row>
      <xdr:rowOff>81279</xdr:rowOff>
    </xdr:from>
    <xdr:to>
      <xdr:col>13</xdr:col>
      <xdr:colOff>406400</xdr:colOff>
      <xdr:row>54</xdr:row>
      <xdr:rowOff>71119</xdr:rowOff>
    </xdr:to>
    <xdr:sp macro="" textlink="">
      <xdr:nvSpPr>
        <xdr:cNvPr id="54" name="Arrow: Notched Right 53">
          <a:extLst>
            <a:ext uri="{FF2B5EF4-FFF2-40B4-BE49-F238E27FC236}">
              <a16:creationId xmlns:a16="http://schemas.microsoft.com/office/drawing/2014/main" id="{CB71A549-CFFD-A83C-DCDB-79042BC40F8A}"/>
            </a:ext>
          </a:extLst>
        </xdr:cNvPr>
        <xdr:cNvSpPr/>
      </xdr:nvSpPr>
      <xdr:spPr>
        <a:xfrm flipV="1">
          <a:off x="8117840" y="9773919"/>
          <a:ext cx="213360" cy="172720"/>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568960</xdr:colOff>
      <xdr:row>55</xdr:row>
      <xdr:rowOff>171609</xdr:rowOff>
    </xdr:from>
    <xdr:to>
      <xdr:col>7</xdr:col>
      <xdr:colOff>203200</xdr:colOff>
      <xdr:row>56</xdr:row>
      <xdr:rowOff>151289</xdr:rowOff>
    </xdr:to>
    <xdr:sp macro="" textlink="">
      <xdr:nvSpPr>
        <xdr:cNvPr id="55" name="Arrow: Notched Right 54">
          <a:extLst>
            <a:ext uri="{FF2B5EF4-FFF2-40B4-BE49-F238E27FC236}">
              <a16:creationId xmlns:a16="http://schemas.microsoft.com/office/drawing/2014/main" id="{749C0BDA-C108-4196-2029-933DE624C562}"/>
            </a:ext>
          </a:extLst>
        </xdr:cNvPr>
        <xdr:cNvSpPr/>
      </xdr:nvSpPr>
      <xdr:spPr>
        <a:xfrm>
          <a:off x="4212273" y="9994265"/>
          <a:ext cx="241458" cy="158274"/>
        </a:xfrm>
        <a:prstGeom prst="notch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kan yadav" refreshedDate="46188.202611921297" createdVersion="8" refreshedVersion="8" minRefreshableVersion="3" recordCount="50" xr:uid="{D32B2440-1E8A-43F3-9647-120B763991A2}">
  <cacheSource type="worksheet">
    <worksheetSource name="Table2"/>
  </cacheSource>
  <cacheFields count="13">
    <cacheField name="Customer_ID" numFmtId="0">
      <sharedItems/>
    </cacheField>
    <cacheField name="Age" numFmtId="0">
      <sharedItems containsSemiMixedTypes="0" containsString="0" containsNumber="1" containsInteger="1" minValue="25" maxValue="55"/>
    </cacheField>
    <cacheField name="Region" numFmtId="0">
      <sharedItems count="4">
        <s v="West"/>
        <s v="North"/>
        <s v="South"/>
        <s v="East"/>
      </sharedItems>
    </cacheField>
    <cacheField name="Orders" numFmtId="0">
      <sharedItems containsSemiMixedTypes="0" containsString="0" containsNumber="1" containsInteger="1" minValue="1" maxValue="8"/>
    </cacheField>
    <cacheField name="Total_Spending" numFmtId="0">
      <sharedItems containsSemiMixedTypes="0" containsString="0" containsNumber="1" containsInteger="1" minValue="2000" maxValue="23000" count="42">
        <n v="12000"/>
        <n v="5000"/>
        <n v="20000"/>
        <n v="3000"/>
        <n v="15000"/>
        <n v="8000"/>
        <n v="4000"/>
        <n v="18000"/>
        <n v="10000"/>
        <n v="2000"/>
        <n v="16000"/>
        <n v="14000"/>
        <n v="6000"/>
        <n v="17000"/>
        <n v="9000"/>
        <n v="2500"/>
        <n v="21000"/>
        <n v="11000"/>
        <n v="4500"/>
        <n v="15500"/>
        <n v="19000"/>
        <n v="3500"/>
        <n v="13000"/>
        <n v="8500"/>
        <n v="4200"/>
        <n v="17500"/>
        <n v="22000"/>
        <n v="5500"/>
        <n v="16500"/>
        <n v="9200"/>
        <n v="2700"/>
        <n v="11500"/>
        <n v="4800"/>
        <n v="23000"/>
        <n v="3200"/>
        <n v="13500"/>
        <n v="5200"/>
        <n v="8700"/>
        <n v="4300"/>
        <n v="17800"/>
        <n v="14200"/>
        <n v="2900"/>
      </sharedItems>
    </cacheField>
    <cacheField name="Last_Purchase_Days" numFmtId="0">
      <sharedItems containsSemiMixedTypes="0" containsString="0" containsNumber="1" containsInteger="1" minValue="5" maxValue="120" count="43">
        <n v="10"/>
        <n v="60"/>
        <n v="5"/>
        <n v="90"/>
        <n v="15"/>
        <n v="45"/>
        <n v="70"/>
        <n v="12"/>
        <n v="30"/>
        <n v="120"/>
        <n v="20"/>
        <n v="18"/>
        <n v="65"/>
        <n v="8"/>
        <n v="40"/>
        <n v="100"/>
        <n v="6"/>
        <n v="25"/>
        <n v="75"/>
        <n v="14"/>
        <n v="9"/>
        <n v="85"/>
        <n v="22"/>
        <n v="95"/>
        <n v="16"/>
        <n v="50"/>
        <n v="80"/>
        <n v="11"/>
        <n v="19"/>
        <n v="110"/>
        <n v="7"/>
        <n v="28"/>
        <n v="68"/>
        <n v="13"/>
        <n v="42"/>
        <n v="105"/>
        <n v="27"/>
        <n v="78"/>
        <n v="21"/>
        <n v="88"/>
        <n v="48"/>
        <n v="82"/>
        <n v="115"/>
      </sharedItems>
    </cacheField>
    <cacheField name="Complaints" numFmtId="0">
      <sharedItems containsSemiMixedTypes="0" containsString="0" containsNumber="1" containsInteger="1" minValue="0" maxValue="4" count="5">
        <n v="0"/>
        <n v="2"/>
        <n v="3"/>
        <n v="1"/>
        <n v="4"/>
      </sharedItems>
    </cacheField>
    <cacheField name="Discount_Used" numFmtId="0">
      <sharedItems count="2">
        <s v="Yes"/>
        <s v="No"/>
      </sharedItems>
    </cacheField>
    <cacheField name="Churn" numFmtId="0">
      <sharedItems count="2">
        <s v="No"/>
        <s v="Yes"/>
      </sharedItems>
    </cacheField>
    <cacheField name="Churn_Score" numFmtId="0">
      <sharedItems containsSemiMixedTypes="0" containsString="0" containsNumber="1" containsInteger="1" minValue="0" maxValue="8"/>
    </cacheField>
    <cacheField name="Risk_level" numFmtId="0">
      <sharedItems count="2">
        <s v="Low Risk"/>
        <s v="High Risk"/>
      </sharedItems>
    </cacheField>
    <cacheField name="Customer segment" numFmtId="0">
      <sharedItems count="3">
        <s v="Medium value"/>
        <s v="Low value"/>
        <s v="High value"/>
      </sharedItems>
    </cacheField>
    <cacheField name="Engegement level" numFmtId="0">
      <sharedItems/>
    </cacheField>
  </cacheFields>
  <extLst>
    <ext xmlns:x14="http://schemas.microsoft.com/office/spreadsheetml/2009/9/main" uri="{725AE2AE-9491-48be-B2B4-4EB974FC3084}">
      <x14:pivotCacheDefinition pivotCacheId="1535085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C001"/>
    <n v="25"/>
    <x v="0"/>
    <n v="5"/>
    <x v="0"/>
    <x v="0"/>
    <x v="0"/>
    <x v="0"/>
    <x v="0"/>
    <n v="0"/>
    <x v="0"/>
    <x v="0"/>
    <s v="Medium"/>
  </r>
  <r>
    <s v="C002"/>
    <n v="40"/>
    <x v="1"/>
    <n v="2"/>
    <x v="1"/>
    <x v="1"/>
    <x v="1"/>
    <x v="0"/>
    <x v="1"/>
    <n v="5"/>
    <x v="1"/>
    <x v="1"/>
    <s v="Low"/>
  </r>
  <r>
    <s v="C003"/>
    <n v="30"/>
    <x v="2"/>
    <n v="8"/>
    <x v="2"/>
    <x v="2"/>
    <x v="0"/>
    <x v="1"/>
    <x v="0"/>
    <n v="0"/>
    <x v="0"/>
    <x v="2"/>
    <s v="High"/>
  </r>
  <r>
    <s v="C004"/>
    <n v="50"/>
    <x v="3"/>
    <n v="1"/>
    <x v="3"/>
    <x v="3"/>
    <x v="2"/>
    <x v="0"/>
    <x v="1"/>
    <n v="8"/>
    <x v="1"/>
    <x v="1"/>
    <s v="Low"/>
  </r>
  <r>
    <s v="C005"/>
    <n v="28"/>
    <x v="0"/>
    <n v="6"/>
    <x v="4"/>
    <x v="4"/>
    <x v="3"/>
    <x v="1"/>
    <x v="0"/>
    <n v="0"/>
    <x v="0"/>
    <x v="0"/>
    <s v="High"/>
  </r>
  <r>
    <s v="C006"/>
    <n v="35"/>
    <x v="1"/>
    <n v="3"/>
    <x v="5"/>
    <x v="5"/>
    <x v="3"/>
    <x v="0"/>
    <x v="0"/>
    <n v="0"/>
    <x v="0"/>
    <x v="1"/>
    <s v="Medium"/>
  </r>
  <r>
    <s v="C007"/>
    <n v="45"/>
    <x v="2"/>
    <n v="2"/>
    <x v="6"/>
    <x v="6"/>
    <x v="1"/>
    <x v="0"/>
    <x v="1"/>
    <n v="8"/>
    <x v="1"/>
    <x v="1"/>
    <s v="Low"/>
  </r>
  <r>
    <s v="C008"/>
    <n v="29"/>
    <x v="3"/>
    <n v="7"/>
    <x v="7"/>
    <x v="7"/>
    <x v="0"/>
    <x v="1"/>
    <x v="0"/>
    <n v="0"/>
    <x v="0"/>
    <x v="2"/>
    <s v="High"/>
  </r>
  <r>
    <s v="C009"/>
    <n v="38"/>
    <x v="0"/>
    <n v="4"/>
    <x v="8"/>
    <x v="8"/>
    <x v="3"/>
    <x v="0"/>
    <x v="0"/>
    <n v="0"/>
    <x v="0"/>
    <x v="0"/>
    <s v="Medium"/>
  </r>
  <r>
    <s v="C010"/>
    <n v="55"/>
    <x v="1"/>
    <n v="1"/>
    <x v="9"/>
    <x v="9"/>
    <x v="4"/>
    <x v="0"/>
    <x v="1"/>
    <n v="8"/>
    <x v="1"/>
    <x v="1"/>
    <s v="Low"/>
  </r>
  <r>
    <s v="C011"/>
    <n v="32"/>
    <x v="2"/>
    <n v="6"/>
    <x v="10"/>
    <x v="10"/>
    <x v="0"/>
    <x v="1"/>
    <x v="0"/>
    <n v="0"/>
    <x v="0"/>
    <x v="2"/>
    <s v="High"/>
  </r>
  <r>
    <s v="C012"/>
    <n v="27"/>
    <x v="3"/>
    <n v="5"/>
    <x v="11"/>
    <x v="11"/>
    <x v="3"/>
    <x v="1"/>
    <x v="0"/>
    <n v="0"/>
    <x v="0"/>
    <x v="0"/>
    <s v="Medium"/>
  </r>
  <r>
    <s v="C013"/>
    <n v="48"/>
    <x v="0"/>
    <n v="2"/>
    <x v="12"/>
    <x v="12"/>
    <x v="1"/>
    <x v="0"/>
    <x v="1"/>
    <n v="8"/>
    <x v="1"/>
    <x v="1"/>
    <s v="Low"/>
  </r>
  <r>
    <s v="C014"/>
    <n v="36"/>
    <x v="1"/>
    <n v="7"/>
    <x v="13"/>
    <x v="13"/>
    <x v="0"/>
    <x v="1"/>
    <x v="0"/>
    <n v="0"/>
    <x v="0"/>
    <x v="2"/>
    <s v="High"/>
  </r>
  <r>
    <s v="C015"/>
    <n v="41"/>
    <x v="2"/>
    <n v="3"/>
    <x v="14"/>
    <x v="14"/>
    <x v="3"/>
    <x v="0"/>
    <x v="0"/>
    <n v="0"/>
    <x v="0"/>
    <x v="0"/>
    <s v="Medium"/>
  </r>
  <r>
    <s v="C016"/>
    <n v="52"/>
    <x v="3"/>
    <n v="1"/>
    <x v="15"/>
    <x v="15"/>
    <x v="2"/>
    <x v="0"/>
    <x v="1"/>
    <n v="8"/>
    <x v="1"/>
    <x v="1"/>
    <s v="Low"/>
  </r>
  <r>
    <s v="C017"/>
    <n v="26"/>
    <x v="0"/>
    <n v="8"/>
    <x v="16"/>
    <x v="16"/>
    <x v="0"/>
    <x v="1"/>
    <x v="0"/>
    <n v="0"/>
    <x v="0"/>
    <x v="2"/>
    <s v="High"/>
  </r>
  <r>
    <s v="C018"/>
    <n v="39"/>
    <x v="1"/>
    <n v="4"/>
    <x v="17"/>
    <x v="17"/>
    <x v="3"/>
    <x v="0"/>
    <x v="0"/>
    <n v="0"/>
    <x v="0"/>
    <x v="0"/>
    <s v="Medium"/>
  </r>
  <r>
    <s v="C019"/>
    <n v="44"/>
    <x v="2"/>
    <n v="2"/>
    <x v="18"/>
    <x v="18"/>
    <x v="1"/>
    <x v="0"/>
    <x v="1"/>
    <n v="8"/>
    <x v="1"/>
    <x v="1"/>
    <s v="Low"/>
  </r>
  <r>
    <s v="C020"/>
    <n v="31"/>
    <x v="3"/>
    <n v="6"/>
    <x v="19"/>
    <x v="19"/>
    <x v="0"/>
    <x v="1"/>
    <x v="0"/>
    <n v="0"/>
    <x v="0"/>
    <x v="2"/>
    <s v="High"/>
  </r>
  <r>
    <s v="C021"/>
    <n v="29"/>
    <x v="0"/>
    <n v="7"/>
    <x v="20"/>
    <x v="20"/>
    <x v="0"/>
    <x v="1"/>
    <x v="0"/>
    <n v="0"/>
    <x v="0"/>
    <x v="2"/>
    <s v="High"/>
  </r>
  <r>
    <s v="C022"/>
    <n v="46"/>
    <x v="1"/>
    <n v="1"/>
    <x v="21"/>
    <x v="21"/>
    <x v="2"/>
    <x v="0"/>
    <x v="1"/>
    <n v="8"/>
    <x v="1"/>
    <x v="1"/>
    <s v="Low"/>
  </r>
  <r>
    <s v="C023"/>
    <n v="34"/>
    <x v="2"/>
    <n v="5"/>
    <x v="22"/>
    <x v="22"/>
    <x v="3"/>
    <x v="1"/>
    <x v="0"/>
    <n v="0"/>
    <x v="0"/>
    <x v="0"/>
    <s v="Medium"/>
  </r>
  <r>
    <s v="C024"/>
    <n v="53"/>
    <x v="3"/>
    <n v="2"/>
    <x v="1"/>
    <x v="23"/>
    <x v="1"/>
    <x v="0"/>
    <x v="1"/>
    <n v="8"/>
    <x v="1"/>
    <x v="1"/>
    <s v="Low"/>
  </r>
  <r>
    <s v="C025"/>
    <n v="28"/>
    <x v="0"/>
    <n v="6"/>
    <x v="10"/>
    <x v="24"/>
    <x v="0"/>
    <x v="1"/>
    <x v="0"/>
    <n v="0"/>
    <x v="0"/>
    <x v="2"/>
    <s v="High"/>
  </r>
  <r>
    <s v="C026"/>
    <n v="37"/>
    <x v="1"/>
    <n v="3"/>
    <x v="23"/>
    <x v="25"/>
    <x v="3"/>
    <x v="0"/>
    <x v="0"/>
    <n v="0"/>
    <x v="0"/>
    <x v="0"/>
    <s v="Medium"/>
  </r>
  <r>
    <s v="C027"/>
    <n v="42"/>
    <x v="2"/>
    <n v="2"/>
    <x v="24"/>
    <x v="26"/>
    <x v="1"/>
    <x v="0"/>
    <x v="1"/>
    <n v="8"/>
    <x v="1"/>
    <x v="1"/>
    <s v="Low"/>
  </r>
  <r>
    <s v="C028"/>
    <n v="30"/>
    <x v="3"/>
    <n v="7"/>
    <x v="25"/>
    <x v="27"/>
    <x v="0"/>
    <x v="1"/>
    <x v="0"/>
    <n v="0"/>
    <x v="0"/>
    <x v="2"/>
    <s v="High"/>
  </r>
  <r>
    <s v="C029"/>
    <n v="33"/>
    <x v="0"/>
    <n v="5"/>
    <x v="11"/>
    <x v="28"/>
    <x v="3"/>
    <x v="1"/>
    <x v="0"/>
    <n v="0"/>
    <x v="0"/>
    <x v="0"/>
    <s v="Medium"/>
  </r>
  <r>
    <s v="C030"/>
    <n v="49"/>
    <x v="1"/>
    <n v="1"/>
    <x v="3"/>
    <x v="29"/>
    <x v="4"/>
    <x v="0"/>
    <x v="1"/>
    <n v="8"/>
    <x v="1"/>
    <x v="1"/>
    <s v="Low"/>
  </r>
  <r>
    <s v="C031"/>
    <n v="27"/>
    <x v="2"/>
    <n v="8"/>
    <x v="26"/>
    <x v="30"/>
    <x v="0"/>
    <x v="1"/>
    <x v="0"/>
    <n v="0"/>
    <x v="0"/>
    <x v="2"/>
    <s v="High"/>
  </r>
  <r>
    <s v="C032"/>
    <n v="35"/>
    <x v="3"/>
    <n v="4"/>
    <x v="0"/>
    <x v="31"/>
    <x v="3"/>
    <x v="0"/>
    <x v="0"/>
    <n v="0"/>
    <x v="0"/>
    <x v="0"/>
    <s v="Medium"/>
  </r>
  <r>
    <s v="C033"/>
    <n v="51"/>
    <x v="0"/>
    <n v="2"/>
    <x v="27"/>
    <x v="32"/>
    <x v="1"/>
    <x v="0"/>
    <x v="1"/>
    <n v="8"/>
    <x v="1"/>
    <x v="1"/>
    <s v="Low"/>
  </r>
  <r>
    <s v="C034"/>
    <n v="38"/>
    <x v="1"/>
    <n v="6"/>
    <x v="28"/>
    <x v="33"/>
    <x v="0"/>
    <x v="1"/>
    <x v="0"/>
    <n v="0"/>
    <x v="0"/>
    <x v="2"/>
    <s v="High"/>
  </r>
  <r>
    <s v="C035"/>
    <n v="43"/>
    <x v="2"/>
    <n v="3"/>
    <x v="29"/>
    <x v="34"/>
    <x v="3"/>
    <x v="0"/>
    <x v="0"/>
    <n v="0"/>
    <x v="0"/>
    <x v="0"/>
    <s v="Medium"/>
  </r>
  <r>
    <s v="C036"/>
    <n v="54"/>
    <x v="3"/>
    <n v="1"/>
    <x v="30"/>
    <x v="35"/>
    <x v="2"/>
    <x v="0"/>
    <x v="1"/>
    <n v="8"/>
    <x v="1"/>
    <x v="1"/>
    <s v="Low"/>
  </r>
  <r>
    <s v="C037"/>
    <n v="26"/>
    <x v="0"/>
    <n v="7"/>
    <x v="2"/>
    <x v="0"/>
    <x v="0"/>
    <x v="1"/>
    <x v="0"/>
    <n v="0"/>
    <x v="0"/>
    <x v="2"/>
    <s v="High"/>
  </r>
  <r>
    <s v="C038"/>
    <n v="40"/>
    <x v="1"/>
    <n v="4"/>
    <x v="31"/>
    <x v="36"/>
    <x v="3"/>
    <x v="0"/>
    <x v="0"/>
    <n v="0"/>
    <x v="0"/>
    <x v="0"/>
    <s v="Medium"/>
  </r>
  <r>
    <s v="C039"/>
    <n v="45"/>
    <x v="2"/>
    <n v="2"/>
    <x v="32"/>
    <x v="37"/>
    <x v="1"/>
    <x v="0"/>
    <x v="1"/>
    <n v="8"/>
    <x v="1"/>
    <x v="1"/>
    <s v="Low"/>
  </r>
  <r>
    <s v="C040"/>
    <n v="31"/>
    <x v="3"/>
    <n v="6"/>
    <x v="4"/>
    <x v="4"/>
    <x v="0"/>
    <x v="1"/>
    <x v="0"/>
    <n v="0"/>
    <x v="0"/>
    <x v="0"/>
    <s v="High"/>
  </r>
  <r>
    <s v="C041"/>
    <n v="29"/>
    <x v="0"/>
    <n v="8"/>
    <x v="33"/>
    <x v="2"/>
    <x v="0"/>
    <x v="1"/>
    <x v="0"/>
    <n v="0"/>
    <x v="0"/>
    <x v="2"/>
    <s v="High"/>
  </r>
  <r>
    <s v="C042"/>
    <n v="47"/>
    <x v="1"/>
    <n v="1"/>
    <x v="34"/>
    <x v="3"/>
    <x v="2"/>
    <x v="0"/>
    <x v="1"/>
    <n v="8"/>
    <x v="1"/>
    <x v="1"/>
    <s v="Low"/>
  </r>
  <r>
    <s v="C043"/>
    <n v="36"/>
    <x v="2"/>
    <n v="5"/>
    <x v="35"/>
    <x v="38"/>
    <x v="3"/>
    <x v="1"/>
    <x v="0"/>
    <n v="0"/>
    <x v="0"/>
    <x v="0"/>
    <s v="Medium"/>
  </r>
  <r>
    <s v="C044"/>
    <n v="52"/>
    <x v="3"/>
    <n v="2"/>
    <x v="36"/>
    <x v="39"/>
    <x v="1"/>
    <x v="0"/>
    <x v="1"/>
    <n v="8"/>
    <x v="1"/>
    <x v="1"/>
    <s v="Low"/>
  </r>
  <r>
    <s v="C045"/>
    <n v="28"/>
    <x v="0"/>
    <n v="6"/>
    <x v="19"/>
    <x v="19"/>
    <x v="0"/>
    <x v="1"/>
    <x v="0"/>
    <n v="0"/>
    <x v="0"/>
    <x v="2"/>
    <s v="High"/>
  </r>
  <r>
    <s v="C046"/>
    <n v="39"/>
    <x v="1"/>
    <n v="3"/>
    <x v="37"/>
    <x v="40"/>
    <x v="3"/>
    <x v="0"/>
    <x v="0"/>
    <n v="0"/>
    <x v="0"/>
    <x v="0"/>
    <s v="Medium"/>
  </r>
  <r>
    <s v="C047"/>
    <n v="44"/>
    <x v="2"/>
    <n v="2"/>
    <x v="38"/>
    <x v="41"/>
    <x v="1"/>
    <x v="0"/>
    <x v="1"/>
    <n v="8"/>
    <x v="1"/>
    <x v="1"/>
    <s v="Low"/>
  </r>
  <r>
    <s v="C048"/>
    <n v="30"/>
    <x v="3"/>
    <n v="7"/>
    <x v="39"/>
    <x v="7"/>
    <x v="0"/>
    <x v="1"/>
    <x v="0"/>
    <n v="0"/>
    <x v="0"/>
    <x v="2"/>
    <s v="High"/>
  </r>
  <r>
    <s v="C049"/>
    <n v="34"/>
    <x v="0"/>
    <n v="5"/>
    <x v="40"/>
    <x v="11"/>
    <x v="3"/>
    <x v="1"/>
    <x v="0"/>
    <n v="0"/>
    <x v="0"/>
    <x v="0"/>
    <s v="Medium"/>
  </r>
  <r>
    <s v="C050"/>
    <n v="50"/>
    <x v="1"/>
    <n v="1"/>
    <x v="41"/>
    <x v="42"/>
    <x v="4"/>
    <x v="0"/>
    <x v="1"/>
    <n v="8"/>
    <x v="1"/>
    <x v="1"/>
    <s v="Low"/>
  </r>
</pivotCacheRecord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Users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D1A66A-177C-4296-8DE2-BB407DB33EEF}" sourceName="Region">
  <data>
    <tabular pivotCacheId="1535085070">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Used" xr10:uid="{441A4A2C-CE21-48F6-9CF0-F2B1C6D6640C}" sourceName="Discount_Used">
  <data>
    <tabular pivotCacheId="153508507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1" xr10:uid="{A7BD1D64-399C-41C2-BD26-4B3D2F7C5C77}" sourceName="Risk_level">
  <data>
    <tabular pivotCacheId="153508507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9E523090-82CB-4F4F-B2C2-7D35A5A6727A}" sourceName="Customer segment">
  <data>
    <tabular pivotCacheId="153508507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4C5E2AA-8C6D-46F5-8B03-F0A43FBB6117}" cache="Slicer_Region" caption="Region" columnCount="2" rowHeight="247650"/>
  <slicer name="Discount_Used 1" xr10:uid="{0A35DEFF-7F59-46F2-BC6D-644F65270214}" cache="Slicer_Discount_Used" caption="Discount_Used" rowHeight="247650"/>
  <slicer name="Risk_level 3" xr10:uid="{8D0F2530-78B1-4536-9E99-1B0D6AD55BD9}" cache="Slicer_Risk_level1" caption="Risk_level" rowHeight="247650"/>
  <slicer name="Customer segment 3" xr10:uid="{4F7976A2-A30F-4E28-93D4-E6FD418CAC9E}" cache="Slicer_Customer_segment1" caption="Customer seg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00285A-949A-44DB-84F2-DEBA2C7871B6}" name="Table2" displayName="Table2" ref="A1:M51" totalsRowShown="0" headerRowDxfId="2">
  <autoFilter ref="A1:M51" xr:uid="{9800285A-949A-44DB-84F2-DEBA2C7871B6}"/>
  <tableColumns count="13">
    <tableColumn id="1" xr3:uid="{A70F03BB-8C45-4036-9C24-0D3A17A95B4D}" name="Customer_ID"/>
    <tableColumn id="2" xr3:uid="{C19D3A4E-56CB-41A8-8C60-AE659ADEA275}" name="Age"/>
    <tableColumn id="3" xr3:uid="{1121CB96-25FE-4171-AD49-EEC23FD17C67}" name="Region"/>
    <tableColumn id="4" xr3:uid="{B503BDD3-7314-4FBA-A784-EC598BFDE62F}" name="Orders"/>
    <tableColumn id="5" xr3:uid="{7B1851C3-BC61-4F4C-A242-F9908E09A052}" name="Total_Spending"/>
    <tableColumn id="6" xr3:uid="{BA373C92-EEEC-40FA-AF08-DF5FC56D3E66}" name="Last_Purchase_Days"/>
    <tableColumn id="7" xr3:uid="{F7221325-B857-43FA-B57E-F779156351A9}" name="Complaints"/>
    <tableColumn id="8" xr3:uid="{74CE1140-EA84-4A9B-82A7-0D6CB2E9F32D}" name="Discount_Used"/>
    <tableColumn id="9" xr3:uid="{498E7C97-9D37-4EC7-BC80-D6CC781C9A00}" name="Churn"/>
    <tableColumn id="10" xr3:uid="{B0B20D1E-BADC-48D1-8E8D-C95D37A51093}" name="Churn_Score">
      <calculatedColumnFormula>IF(F2&gt;60,3,0)+IF(D2&lt;3,2,0)+IF(G2&gt;1,2,0)+IF(E2&lt;8000,1,0)</calculatedColumnFormula>
    </tableColumn>
    <tableColumn id="11" xr3:uid="{0F526ACB-12A2-4188-805D-639C642CDEFF}" name="Risk_level">
      <calculatedColumnFormula>IF(J2&gt;=5,"High Risk",IF(J2&gt;=3,"Medium Risk","Low Risk"))</calculatedColumnFormula>
    </tableColumn>
    <tableColumn id="12" xr3:uid="{FC9F5C02-3CF3-4197-A8EC-6F296394411B}" name="Customer segment" dataDxfId="1">
      <calculatedColumnFormula>IF(Table2[[#This Row],[Total_Spending]]&gt;15000,"High value",IF(Table2[[#This Row],[Total_Spending]]&gt;8000,"Medium value","Low value"))</calculatedColumnFormula>
    </tableColumn>
    <tableColumn id="13" xr3:uid="{0F3625F9-590E-4A53-BE49-08848B089BD3}" name="Engegement level" dataDxfId="0">
      <calculatedColumnFormula>IF(Table2[[#This Row],[Orders]]&gt;=6,"High",IF(Table2[[#This Row],[Orders]]&gt;=3,"Medium","Low"))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11B2B-D8A8-477C-B7D8-F4133559EBE2}">
  <dimension ref="A1:BT52"/>
  <sheetViews>
    <sheetView showGridLines="0" zoomScale="60" workbookViewId="0">
      <selection activeCell="Y19" sqref="Y19"/>
    </sheetView>
  </sheetViews>
  <sheetFormatPr defaultRowHeight="14.4" x14ac:dyDescent="0.3"/>
  <sheetData>
    <row r="1" spans="1:72" x14ac:dyDescent="0.3">
      <c r="A1" s="4" t="s">
        <v>67</v>
      </c>
      <c r="B1" s="5"/>
      <c r="C1" s="5"/>
      <c r="D1" s="5"/>
      <c r="E1" s="5"/>
      <c r="F1" s="5"/>
      <c r="G1" s="5"/>
      <c r="H1" s="5"/>
      <c r="I1" s="5"/>
      <c r="J1" s="5"/>
      <c r="K1" s="5"/>
      <c r="L1" s="5"/>
      <c r="M1" s="5"/>
      <c r="N1" s="5"/>
      <c r="O1" s="5"/>
      <c r="P1" s="5"/>
      <c r="Q1" s="5"/>
      <c r="R1" s="5"/>
      <c r="S1" s="5"/>
      <c r="T1" s="5"/>
      <c r="U1" s="5"/>
      <c r="V1" s="5"/>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spans="1:72" x14ac:dyDescent="0.3">
      <c r="A2" s="5"/>
      <c r="B2" s="5"/>
      <c r="C2" s="5"/>
      <c r="D2" s="5"/>
      <c r="E2" s="5"/>
      <c r="F2" s="5"/>
      <c r="G2" s="5"/>
      <c r="H2" s="5"/>
      <c r="I2" s="5"/>
      <c r="J2" s="5"/>
      <c r="K2" s="5"/>
      <c r="L2" s="5"/>
      <c r="M2" s="5"/>
      <c r="N2" s="5"/>
      <c r="O2" s="5"/>
      <c r="P2" s="5"/>
      <c r="Q2" s="5"/>
      <c r="R2" s="5"/>
      <c r="S2" s="5"/>
      <c r="T2" s="5"/>
      <c r="U2" s="5"/>
      <c r="V2" s="5"/>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row>
    <row r="3" spans="1:72" x14ac:dyDescent="0.3">
      <c r="A3" s="5"/>
      <c r="B3" s="5"/>
      <c r="C3" s="5"/>
      <c r="D3" s="5"/>
      <c r="E3" s="5"/>
      <c r="F3" s="5"/>
      <c r="G3" s="5"/>
      <c r="H3" s="5"/>
      <c r="I3" s="5"/>
      <c r="J3" s="5"/>
      <c r="K3" s="5"/>
      <c r="L3" s="5"/>
      <c r="M3" s="5"/>
      <c r="N3" s="5"/>
      <c r="O3" s="5"/>
      <c r="P3" s="5"/>
      <c r="Q3" s="5"/>
      <c r="R3" s="5"/>
      <c r="S3" s="5"/>
      <c r="T3" s="5"/>
      <c r="U3" s="5"/>
      <c r="V3" s="5"/>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row>
    <row r="4" spans="1:72" x14ac:dyDescent="0.3">
      <c r="A4" s="6" t="e" vm="1">
        <v>#VALUE!</v>
      </c>
      <c r="B4" s="6"/>
      <c r="C4" s="6"/>
      <c r="D4" s="6"/>
      <c r="E4" s="6"/>
      <c r="F4" s="6"/>
      <c r="G4" s="6"/>
      <c r="H4" s="6"/>
      <c r="I4" s="6"/>
      <c r="J4" s="6"/>
      <c r="K4" s="6"/>
      <c r="L4" s="6"/>
      <c r="M4" s="6"/>
      <c r="N4" s="6"/>
      <c r="O4" s="6"/>
      <c r="P4" s="6"/>
      <c r="Q4" s="6"/>
      <c r="R4" s="6"/>
      <c r="S4" s="6"/>
      <c r="T4" s="6"/>
      <c r="U4" s="6"/>
      <c r="V4" s="6"/>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row>
    <row r="5" spans="1:72" x14ac:dyDescent="0.3">
      <c r="A5" s="6"/>
      <c r="B5" s="6"/>
      <c r="C5" s="6"/>
      <c r="D5" s="6"/>
      <c r="E5" s="6"/>
      <c r="F5" s="6"/>
      <c r="G5" s="6"/>
      <c r="H5" s="6"/>
      <c r="I5" s="6"/>
      <c r="J5" s="6"/>
      <c r="K5" s="6"/>
      <c r="L5" s="6"/>
      <c r="M5" s="6"/>
      <c r="N5" s="6"/>
      <c r="O5" s="6"/>
      <c r="P5" s="6"/>
      <c r="Q5" s="6"/>
      <c r="R5" s="6"/>
      <c r="S5" s="6"/>
      <c r="T5" s="6"/>
      <c r="U5" s="6"/>
      <c r="V5" s="6"/>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row>
    <row r="6" spans="1:72" x14ac:dyDescent="0.3">
      <c r="A6" s="6"/>
      <c r="B6" s="6"/>
      <c r="C6" s="6"/>
      <c r="D6" s="6"/>
      <c r="E6" s="6"/>
      <c r="F6" s="6"/>
      <c r="G6" s="6"/>
      <c r="H6" s="6"/>
      <c r="I6" s="6"/>
      <c r="J6" s="6"/>
      <c r="K6" s="6"/>
      <c r="L6" s="6"/>
      <c r="M6" s="6"/>
      <c r="N6" s="6"/>
      <c r="O6" s="6"/>
      <c r="P6" s="6"/>
      <c r="Q6" s="6"/>
      <c r="R6" s="6"/>
      <c r="S6" s="6"/>
      <c r="T6" s="6"/>
      <c r="U6" s="6"/>
      <c r="V6" s="6"/>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row>
    <row r="7" spans="1:72" x14ac:dyDescent="0.3">
      <c r="A7" s="6"/>
      <c r="B7" s="6"/>
      <c r="C7" s="6"/>
      <c r="D7" s="6"/>
      <c r="E7" s="6"/>
      <c r="F7" s="6"/>
      <c r="G7" s="6"/>
      <c r="H7" s="6"/>
      <c r="I7" s="6"/>
      <c r="J7" s="6"/>
      <c r="K7" s="6"/>
      <c r="L7" s="6"/>
      <c r="M7" s="6"/>
      <c r="N7" s="6"/>
      <c r="O7" s="6"/>
      <c r="P7" s="6"/>
      <c r="Q7" s="6"/>
      <c r="R7" s="6"/>
      <c r="S7" s="6"/>
      <c r="T7" s="6"/>
      <c r="U7" s="6"/>
      <c r="V7" s="6"/>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row>
    <row r="8" spans="1:72" x14ac:dyDescent="0.3">
      <c r="A8" s="6"/>
      <c r="B8" s="6"/>
      <c r="C8" s="6"/>
      <c r="D8" s="6"/>
      <c r="E8" s="6"/>
      <c r="F8" s="6"/>
      <c r="G8" s="6"/>
      <c r="H8" s="6"/>
      <c r="I8" s="6"/>
      <c r="J8" s="6"/>
      <c r="K8" s="6"/>
      <c r="L8" s="6"/>
      <c r="M8" s="6"/>
      <c r="N8" s="6"/>
      <c r="O8" s="6"/>
      <c r="P8" s="6"/>
      <c r="Q8" s="6"/>
      <c r="R8" s="6"/>
      <c r="S8" s="6"/>
      <c r="T8" s="6"/>
      <c r="U8" s="6"/>
      <c r="V8" s="6"/>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row>
    <row r="9" spans="1:72" x14ac:dyDescent="0.3">
      <c r="A9" s="6"/>
      <c r="B9" s="6"/>
      <c r="C9" s="6"/>
      <c r="D9" s="6"/>
      <c r="E9" s="6"/>
      <c r="F9" s="6"/>
      <c r="G9" s="6"/>
      <c r="H9" s="6"/>
      <c r="I9" s="6"/>
      <c r="J9" s="6"/>
      <c r="K9" s="6"/>
      <c r="L9" s="6"/>
      <c r="M9" s="6"/>
      <c r="N9" s="6"/>
      <c r="O9" s="6"/>
      <c r="P9" s="6"/>
      <c r="Q9" s="6"/>
      <c r="R9" s="6"/>
      <c r="S9" s="6"/>
      <c r="T9" s="6"/>
      <c r="U9" s="6"/>
      <c r="V9" s="6"/>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row>
    <row r="10" spans="1:72" x14ac:dyDescent="0.3">
      <c r="A10" s="6"/>
      <c r="B10" s="6"/>
      <c r="C10" s="6"/>
      <c r="D10" s="6"/>
      <c r="E10" s="6"/>
      <c r="F10" s="6"/>
      <c r="G10" s="6"/>
      <c r="H10" s="6"/>
      <c r="I10" s="6"/>
      <c r="J10" s="6"/>
      <c r="K10" s="6"/>
      <c r="L10" s="6"/>
      <c r="M10" s="6"/>
      <c r="N10" s="6"/>
      <c r="O10" s="6"/>
      <c r="P10" s="6"/>
      <c r="Q10" s="6"/>
      <c r="R10" s="6"/>
      <c r="S10" s="6"/>
      <c r="T10" s="6"/>
      <c r="U10" s="6"/>
      <c r="V10" s="6"/>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row>
    <row r="11" spans="1:72" x14ac:dyDescent="0.3">
      <c r="A11" s="6"/>
      <c r="B11" s="6"/>
      <c r="C11" s="6"/>
      <c r="D11" s="6"/>
      <c r="E11" s="7"/>
      <c r="F11" s="7"/>
      <c r="G11" s="7"/>
      <c r="H11" s="7"/>
      <c r="I11" s="7"/>
      <c r="J11" s="7"/>
      <c r="K11" s="7"/>
      <c r="L11" s="7"/>
      <c r="M11" s="7"/>
      <c r="N11" s="7"/>
      <c r="O11" s="7"/>
      <c r="P11" s="7"/>
      <c r="Q11" s="7"/>
      <c r="R11" s="7"/>
      <c r="S11" s="7"/>
      <c r="T11" s="7"/>
      <c r="U11" s="7"/>
      <c r="V11" s="7"/>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row>
    <row r="12" spans="1:72" x14ac:dyDescent="0.3">
      <c r="A12" s="6"/>
      <c r="B12" s="6"/>
      <c r="C12" s="6"/>
      <c r="D12" s="6"/>
      <c r="E12" s="7"/>
      <c r="F12" s="7"/>
      <c r="G12" s="7"/>
      <c r="H12" s="7"/>
      <c r="I12" s="7"/>
      <c r="J12" s="7"/>
      <c r="K12" s="7"/>
      <c r="L12" s="7"/>
      <c r="M12" s="7"/>
      <c r="N12" s="7"/>
      <c r="O12" s="7"/>
      <c r="P12" s="7"/>
      <c r="Q12" s="7"/>
      <c r="R12" s="7"/>
      <c r="S12" s="7"/>
      <c r="T12" s="7"/>
      <c r="U12" s="7"/>
      <c r="V12" s="7"/>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row>
    <row r="13" spans="1:72" x14ac:dyDescent="0.3">
      <c r="A13" s="6"/>
      <c r="B13" s="6"/>
      <c r="C13" s="6"/>
      <c r="D13" s="6"/>
      <c r="E13" s="7"/>
      <c r="F13" s="7"/>
      <c r="G13" s="7"/>
      <c r="H13" s="7"/>
      <c r="I13" s="7"/>
      <c r="J13" s="7"/>
      <c r="K13" s="7"/>
      <c r="L13" s="7"/>
      <c r="M13" s="7"/>
      <c r="N13" s="7"/>
      <c r="O13" s="7"/>
      <c r="P13" s="7"/>
      <c r="Q13" s="7"/>
      <c r="R13" s="7"/>
      <c r="S13" s="7"/>
      <c r="T13" s="7"/>
      <c r="U13" s="7"/>
      <c r="V13" s="7"/>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row>
    <row r="14" spans="1:72" x14ac:dyDescent="0.3">
      <c r="A14" s="6"/>
      <c r="B14" s="6"/>
      <c r="C14" s="6"/>
      <c r="D14" s="6"/>
      <c r="E14" s="7"/>
      <c r="F14" s="7"/>
      <c r="G14" s="7"/>
      <c r="H14" s="7"/>
      <c r="I14" s="7"/>
      <c r="J14" s="7"/>
      <c r="K14" s="7"/>
      <c r="L14" s="7"/>
      <c r="M14" s="7"/>
      <c r="N14" s="7"/>
      <c r="O14" s="7"/>
      <c r="P14" s="7"/>
      <c r="Q14" s="7"/>
      <c r="R14" s="7"/>
      <c r="S14" s="7"/>
      <c r="T14" s="7"/>
      <c r="U14" s="7"/>
      <c r="V14" s="7"/>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row>
    <row r="15" spans="1:72" x14ac:dyDescent="0.3">
      <c r="A15" s="6"/>
      <c r="B15" s="6"/>
      <c r="C15" s="6"/>
      <c r="D15" s="6"/>
      <c r="E15" s="7"/>
      <c r="F15" s="7"/>
      <c r="G15" s="7"/>
      <c r="H15" s="7"/>
      <c r="I15" s="7"/>
      <c r="J15" s="7"/>
      <c r="K15" s="7"/>
      <c r="L15" s="7"/>
      <c r="M15" s="7"/>
      <c r="N15" s="7"/>
      <c r="O15" s="7"/>
      <c r="P15" s="7"/>
      <c r="Q15" s="7"/>
      <c r="R15" s="7"/>
      <c r="S15" s="7"/>
      <c r="T15" s="7"/>
      <c r="U15" s="7"/>
      <c r="V15" s="7"/>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row>
    <row r="16" spans="1:72" x14ac:dyDescent="0.3">
      <c r="A16" s="6"/>
      <c r="B16" s="6"/>
      <c r="C16" s="6"/>
      <c r="D16" s="6"/>
      <c r="E16" s="7"/>
      <c r="F16" s="7"/>
      <c r="G16" s="7"/>
      <c r="H16" s="7"/>
      <c r="I16" s="7"/>
      <c r="J16" s="7"/>
      <c r="K16" s="7"/>
      <c r="L16" s="7"/>
      <c r="M16" s="7"/>
      <c r="N16" s="7"/>
      <c r="O16" s="7"/>
      <c r="P16" s="7"/>
      <c r="Q16" s="7"/>
      <c r="R16" s="7"/>
      <c r="S16" s="7"/>
      <c r="T16" s="7"/>
      <c r="U16" s="7"/>
      <c r="V16" s="7"/>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row>
    <row r="17" spans="1:72" x14ac:dyDescent="0.3">
      <c r="A17" s="6"/>
      <c r="B17" s="6"/>
      <c r="C17" s="6"/>
      <c r="D17" s="6"/>
      <c r="E17" s="7"/>
      <c r="F17" s="7"/>
      <c r="G17" s="7"/>
      <c r="H17" s="7"/>
      <c r="I17" s="7"/>
      <c r="J17" s="7"/>
      <c r="K17" s="7"/>
      <c r="L17" s="7"/>
      <c r="M17" s="7"/>
      <c r="N17" s="7"/>
      <c r="O17" s="7"/>
      <c r="P17" s="7"/>
      <c r="Q17" s="7"/>
      <c r="R17" s="7"/>
      <c r="S17" s="7"/>
      <c r="T17" s="7"/>
      <c r="U17" s="7"/>
      <c r="V17" s="7"/>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row>
    <row r="18" spans="1:72" x14ac:dyDescent="0.3">
      <c r="A18" s="6"/>
      <c r="B18" s="6"/>
      <c r="C18" s="6"/>
      <c r="D18" s="6"/>
      <c r="E18" s="7"/>
      <c r="F18" s="7"/>
      <c r="G18" s="7"/>
      <c r="H18" s="7"/>
      <c r="I18" s="7"/>
      <c r="J18" s="7"/>
      <c r="K18" s="7"/>
      <c r="L18" s="7"/>
      <c r="M18" s="7"/>
      <c r="N18" s="7"/>
      <c r="O18" s="7"/>
      <c r="P18" s="7"/>
      <c r="Q18" s="7"/>
      <c r="R18" s="7"/>
      <c r="S18" s="7"/>
      <c r="T18" s="7"/>
      <c r="U18" s="7"/>
      <c r="V18" s="7"/>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row>
    <row r="19" spans="1:72" x14ac:dyDescent="0.3">
      <c r="A19" s="6"/>
      <c r="B19" s="6"/>
      <c r="C19" s="6"/>
      <c r="D19" s="6"/>
      <c r="E19" s="7"/>
      <c r="F19" s="7"/>
      <c r="G19" s="7"/>
      <c r="H19" s="7"/>
      <c r="I19" s="7"/>
      <c r="J19" s="7"/>
      <c r="K19" s="7"/>
      <c r="L19" s="7"/>
      <c r="M19" s="7"/>
      <c r="N19" s="7"/>
      <c r="O19" s="7"/>
      <c r="P19" s="7"/>
      <c r="Q19" s="7"/>
      <c r="R19" s="7"/>
      <c r="S19" s="7"/>
      <c r="T19" s="7"/>
      <c r="U19" s="7"/>
      <c r="V19" s="7"/>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row>
    <row r="20" spans="1:72" x14ac:dyDescent="0.3">
      <c r="A20" s="6"/>
      <c r="B20" s="6"/>
      <c r="C20" s="6"/>
      <c r="D20" s="6"/>
      <c r="E20" s="7"/>
      <c r="F20" s="7"/>
      <c r="G20" s="7"/>
      <c r="H20" s="7"/>
      <c r="I20" s="7"/>
      <c r="J20" s="7"/>
      <c r="K20" s="7"/>
      <c r="L20" s="7"/>
      <c r="M20" s="7"/>
      <c r="N20" s="7"/>
      <c r="O20" s="7"/>
      <c r="P20" s="7"/>
      <c r="Q20" s="7"/>
      <c r="R20" s="7"/>
      <c r="S20" s="7"/>
      <c r="T20" s="7"/>
      <c r="U20" s="7"/>
      <c r="V20" s="7"/>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row>
    <row r="21" spans="1:72" x14ac:dyDescent="0.3">
      <c r="A21" s="6"/>
      <c r="B21" s="6"/>
      <c r="C21" s="6"/>
      <c r="D21" s="6"/>
      <c r="E21" s="7"/>
      <c r="F21" s="7"/>
      <c r="G21" s="7"/>
      <c r="H21" s="7"/>
      <c r="I21" s="7"/>
      <c r="J21" s="7"/>
      <c r="K21" s="7"/>
      <c r="L21" s="7"/>
      <c r="M21" s="7"/>
      <c r="N21" s="7"/>
      <c r="O21" s="7"/>
      <c r="P21" s="7"/>
      <c r="Q21" s="7"/>
      <c r="R21" s="7"/>
      <c r="S21" s="7"/>
      <c r="T21" s="7"/>
      <c r="U21" s="7"/>
      <c r="V21" s="7"/>
    </row>
    <row r="22" spans="1:72" x14ac:dyDescent="0.3">
      <c r="A22" s="6"/>
      <c r="B22" s="6"/>
      <c r="C22" s="6"/>
      <c r="D22" s="6"/>
      <c r="E22" s="7"/>
      <c r="F22" s="7"/>
      <c r="G22" s="7"/>
      <c r="H22" s="7"/>
      <c r="I22" s="7"/>
      <c r="J22" s="7"/>
      <c r="K22" s="7"/>
      <c r="L22" s="7"/>
      <c r="M22" s="7"/>
      <c r="N22" s="7"/>
      <c r="O22" s="7"/>
      <c r="P22" s="7"/>
      <c r="Q22" s="7"/>
      <c r="R22" s="7"/>
      <c r="S22" s="7"/>
      <c r="T22" s="7"/>
      <c r="U22" s="7"/>
      <c r="V22" s="7"/>
    </row>
    <row r="23" spans="1:72" x14ac:dyDescent="0.3">
      <c r="A23" s="6"/>
      <c r="B23" s="6"/>
      <c r="C23" s="6"/>
      <c r="D23" s="6"/>
      <c r="E23" s="7"/>
      <c r="F23" s="7"/>
      <c r="G23" s="7"/>
      <c r="H23" s="7"/>
      <c r="I23" s="7"/>
      <c r="J23" s="7"/>
      <c r="K23" s="7"/>
      <c r="L23" s="7"/>
      <c r="M23" s="7"/>
      <c r="N23" s="7"/>
      <c r="O23" s="7"/>
      <c r="P23" s="7"/>
      <c r="Q23" s="7"/>
      <c r="R23" s="7"/>
      <c r="S23" s="7"/>
      <c r="T23" s="7"/>
      <c r="U23" s="7"/>
      <c r="V23" s="7"/>
    </row>
    <row r="24" spans="1:72" x14ac:dyDescent="0.3">
      <c r="A24" s="6"/>
      <c r="B24" s="6"/>
      <c r="C24" s="6"/>
      <c r="D24" s="6"/>
      <c r="E24" s="7"/>
      <c r="F24" s="7"/>
      <c r="G24" s="7"/>
      <c r="H24" s="7"/>
      <c r="I24" s="7"/>
      <c r="J24" s="7"/>
      <c r="K24" s="7"/>
      <c r="L24" s="7"/>
      <c r="M24" s="7"/>
      <c r="N24" s="7"/>
      <c r="O24" s="7"/>
      <c r="P24" s="7"/>
      <c r="Q24" s="7"/>
      <c r="R24" s="7"/>
      <c r="S24" s="7"/>
      <c r="T24" s="7"/>
      <c r="U24" s="7"/>
      <c r="V24" s="7"/>
    </row>
    <row r="25" spans="1:72" x14ac:dyDescent="0.3">
      <c r="A25" s="6"/>
      <c r="B25" s="6"/>
      <c r="C25" s="6"/>
      <c r="D25" s="6"/>
      <c r="E25" s="7"/>
      <c r="F25" s="7"/>
      <c r="G25" s="7"/>
      <c r="H25" s="7"/>
      <c r="I25" s="7"/>
      <c r="J25" s="7"/>
      <c r="K25" s="7"/>
      <c r="L25" s="7"/>
      <c r="M25" s="7"/>
      <c r="N25" s="7"/>
      <c r="O25" s="7"/>
      <c r="P25" s="7"/>
      <c r="Q25" s="7"/>
      <c r="R25" s="7"/>
      <c r="S25" s="7"/>
      <c r="T25" s="7"/>
      <c r="U25" s="7"/>
      <c r="V25" s="7"/>
    </row>
    <row r="26" spans="1:72" x14ac:dyDescent="0.3">
      <c r="A26" s="6"/>
      <c r="B26" s="6"/>
      <c r="C26" s="6"/>
      <c r="D26" s="6"/>
      <c r="E26" s="7"/>
      <c r="F26" s="7"/>
      <c r="G26" s="7"/>
      <c r="H26" s="7"/>
      <c r="I26" s="7"/>
      <c r="J26" s="7"/>
      <c r="K26" s="7"/>
      <c r="L26" s="7"/>
      <c r="M26" s="7"/>
      <c r="N26" s="7"/>
      <c r="O26" s="7"/>
      <c r="P26" s="7"/>
      <c r="Q26" s="7"/>
      <c r="R26" s="7"/>
      <c r="S26" s="7"/>
      <c r="T26" s="7"/>
      <c r="U26" s="7"/>
      <c r="V26" s="7"/>
    </row>
    <row r="27" spans="1:72" x14ac:dyDescent="0.3">
      <c r="A27" s="6"/>
      <c r="B27" s="6"/>
      <c r="C27" s="6"/>
      <c r="D27" s="6"/>
      <c r="E27" s="7"/>
      <c r="F27" s="7"/>
      <c r="G27" s="7"/>
      <c r="H27" s="7"/>
      <c r="I27" s="7"/>
      <c r="J27" s="7"/>
      <c r="K27" s="7"/>
      <c r="L27" s="7"/>
      <c r="M27" s="7"/>
      <c r="N27" s="7"/>
      <c r="O27" s="7"/>
      <c r="P27" s="7"/>
      <c r="Q27" s="7"/>
      <c r="R27" s="7"/>
      <c r="S27" s="7"/>
      <c r="T27" s="7"/>
      <c r="U27" s="7"/>
      <c r="V27" s="7"/>
    </row>
    <row r="28" spans="1:72" x14ac:dyDescent="0.3">
      <c r="A28" s="6"/>
      <c r="B28" s="6"/>
      <c r="C28" s="6"/>
      <c r="D28" s="6"/>
      <c r="E28" s="7"/>
      <c r="F28" s="7"/>
      <c r="G28" s="7"/>
      <c r="H28" s="7"/>
      <c r="I28" s="7"/>
      <c r="J28" s="7"/>
      <c r="K28" s="7"/>
      <c r="L28" s="7"/>
      <c r="M28" s="7"/>
      <c r="N28" s="7"/>
      <c r="O28" s="7"/>
      <c r="P28" s="7"/>
      <c r="Q28" s="7"/>
      <c r="R28" s="7"/>
      <c r="S28" s="7"/>
      <c r="T28" s="7"/>
      <c r="U28" s="7"/>
      <c r="V28" s="7"/>
    </row>
    <row r="29" spans="1:72" x14ac:dyDescent="0.3">
      <c r="A29" s="6"/>
      <c r="B29" s="6"/>
      <c r="C29" s="6"/>
      <c r="D29" s="6"/>
      <c r="E29" s="7"/>
      <c r="F29" s="7"/>
      <c r="G29" s="7"/>
      <c r="H29" s="7"/>
      <c r="I29" s="7"/>
      <c r="J29" s="7"/>
      <c r="K29" s="7"/>
      <c r="L29" s="7"/>
      <c r="M29" s="7"/>
      <c r="N29" s="7"/>
      <c r="O29" s="7"/>
      <c r="P29" s="7"/>
      <c r="Q29" s="7"/>
      <c r="R29" s="7"/>
      <c r="S29" s="7"/>
      <c r="T29" s="7"/>
      <c r="U29" s="7"/>
      <c r="V29" s="7"/>
    </row>
    <row r="30" spans="1:72" x14ac:dyDescent="0.3">
      <c r="A30" s="6"/>
      <c r="B30" s="6"/>
      <c r="C30" s="6"/>
      <c r="D30" s="6"/>
      <c r="E30" s="7"/>
      <c r="F30" s="7"/>
      <c r="G30" s="7"/>
      <c r="H30" s="7"/>
      <c r="I30" s="7"/>
      <c r="J30" s="7"/>
      <c r="K30" s="7"/>
      <c r="L30" s="7"/>
      <c r="M30" s="7"/>
      <c r="N30" s="7"/>
      <c r="O30" s="7"/>
      <c r="P30" s="7"/>
      <c r="Q30" s="7"/>
      <c r="R30" s="7"/>
      <c r="S30" s="7"/>
      <c r="T30" s="7"/>
      <c r="U30" s="7"/>
      <c r="V30" s="7"/>
    </row>
    <row r="31" spans="1:72" x14ac:dyDescent="0.3">
      <c r="A31" s="6"/>
      <c r="B31" s="6"/>
      <c r="C31" s="6"/>
      <c r="D31" s="6"/>
      <c r="E31" s="7"/>
      <c r="F31" s="7"/>
      <c r="G31" s="7"/>
      <c r="H31" s="7"/>
      <c r="I31" s="7"/>
      <c r="J31" s="7"/>
      <c r="K31" s="7"/>
      <c r="L31" s="7"/>
      <c r="M31" s="7"/>
      <c r="N31" s="7"/>
      <c r="O31" s="7"/>
      <c r="P31" s="7"/>
      <c r="Q31" s="7"/>
      <c r="R31" s="7"/>
      <c r="S31" s="7"/>
      <c r="T31" s="7"/>
      <c r="U31" s="7"/>
      <c r="V31" s="7"/>
    </row>
    <row r="32" spans="1:72" x14ac:dyDescent="0.3">
      <c r="A32" s="6"/>
      <c r="B32" s="6"/>
      <c r="C32" s="6"/>
      <c r="D32" s="6"/>
      <c r="E32" s="7"/>
      <c r="F32" s="7"/>
      <c r="G32" s="7"/>
      <c r="H32" s="7"/>
      <c r="I32" s="7"/>
      <c r="J32" s="7"/>
      <c r="K32" s="7"/>
      <c r="L32" s="7"/>
      <c r="M32" s="7"/>
      <c r="N32" s="7"/>
      <c r="O32" s="7"/>
      <c r="P32" s="7"/>
      <c r="Q32" s="7"/>
      <c r="R32" s="7"/>
      <c r="S32" s="7"/>
      <c r="T32" s="7"/>
      <c r="U32" s="7"/>
      <c r="V32" s="7"/>
    </row>
    <row r="33" spans="1:22" x14ac:dyDescent="0.3">
      <c r="A33" s="6"/>
      <c r="B33" s="6"/>
      <c r="C33" s="6"/>
      <c r="D33" s="6"/>
      <c r="E33" s="7"/>
      <c r="F33" s="7"/>
      <c r="G33" s="7"/>
      <c r="H33" s="7"/>
      <c r="I33" s="7"/>
      <c r="J33" s="7"/>
      <c r="K33" s="7"/>
      <c r="L33" s="7"/>
      <c r="M33" s="7"/>
      <c r="N33" s="7"/>
      <c r="O33" s="7"/>
      <c r="P33" s="7"/>
      <c r="Q33" s="7"/>
      <c r="R33" s="7"/>
      <c r="S33" s="7"/>
      <c r="T33" s="7"/>
      <c r="U33" s="7"/>
      <c r="V33" s="7"/>
    </row>
    <row r="34" spans="1:22" x14ac:dyDescent="0.3">
      <c r="A34" s="6"/>
      <c r="B34" s="6"/>
      <c r="C34" s="6"/>
      <c r="D34" s="6"/>
      <c r="E34" s="7"/>
      <c r="F34" s="7"/>
      <c r="G34" s="7"/>
      <c r="H34" s="7"/>
      <c r="I34" s="7"/>
      <c r="J34" s="7"/>
      <c r="K34" s="7"/>
      <c r="L34" s="7"/>
      <c r="M34" s="7"/>
      <c r="N34" s="7"/>
      <c r="O34" s="7"/>
      <c r="P34" s="7"/>
      <c r="Q34" s="7"/>
      <c r="R34" s="7"/>
      <c r="S34" s="7"/>
      <c r="T34" s="7"/>
      <c r="U34" s="7"/>
      <c r="V34" s="7"/>
    </row>
    <row r="35" spans="1:22" x14ac:dyDescent="0.3">
      <c r="A35" s="6"/>
      <c r="B35" s="6"/>
      <c r="C35" s="6"/>
      <c r="D35" s="6"/>
      <c r="E35" s="7"/>
      <c r="F35" s="7"/>
      <c r="G35" s="7"/>
      <c r="H35" s="7"/>
      <c r="I35" s="7"/>
      <c r="J35" s="7"/>
      <c r="K35" s="7"/>
      <c r="L35" s="7"/>
      <c r="M35" s="7"/>
      <c r="N35" s="7"/>
      <c r="O35" s="7"/>
      <c r="P35" s="7"/>
      <c r="Q35" s="7"/>
      <c r="R35" s="7"/>
      <c r="S35" s="7"/>
      <c r="T35" s="7"/>
      <c r="U35" s="7"/>
      <c r="V35" s="7"/>
    </row>
    <row r="36" spans="1:22" x14ac:dyDescent="0.3">
      <c r="A36" s="6"/>
      <c r="B36" s="6"/>
      <c r="C36" s="6"/>
      <c r="D36" s="6"/>
      <c r="E36" s="7"/>
      <c r="F36" s="7"/>
      <c r="G36" s="7"/>
      <c r="H36" s="7"/>
      <c r="I36" s="7"/>
      <c r="J36" s="7"/>
      <c r="K36" s="7"/>
      <c r="L36" s="7"/>
      <c r="M36" s="7"/>
      <c r="N36" s="7"/>
      <c r="O36" s="7"/>
      <c r="P36" s="7"/>
      <c r="Q36" s="7"/>
      <c r="R36" s="7"/>
      <c r="S36" s="7"/>
      <c r="T36" s="7"/>
      <c r="U36" s="7"/>
      <c r="V36" s="7"/>
    </row>
    <row r="37" spans="1:22" x14ac:dyDescent="0.3">
      <c r="A37" s="6"/>
      <c r="B37" s="6"/>
      <c r="C37" s="6"/>
      <c r="D37" s="6"/>
      <c r="E37" s="7"/>
      <c r="F37" s="7"/>
      <c r="G37" s="7"/>
      <c r="H37" s="7"/>
      <c r="I37" s="7"/>
      <c r="J37" s="7"/>
      <c r="K37" s="7"/>
      <c r="L37" s="7"/>
      <c r="M37" s="7"/>
      <c r="N37" s="7"/>
      <c r="O37" s="7"/>
      <c r="P37" s="7"/>
      <c r="Q37" s="7"/>
      <c r="R37" s="7"/>
      <c r="S37" s="7"/>
      <c r="T37" s="7"/>
      <c r="U37" s="7"/>
      <c r="V37" s="7"/>
    </row>
    <row r="38" spans="1:22" x14ac:dyDescent="0.3">
      <c r="A38" s="6"/>
      <c r="B38" s="6"/>
      <c r="C38" s="6"/>
      <c r="D38" s="6"/>
      <c r="E38" s="7"/>
      <c r="F38" s="7"/>
      <c r="G38" s="7"/>
      <c r="H38" s="7"/>
      <c r="I38" s="7"/>
      <c r="J38" s="7"/>
      <c r="K38" s="7"/>
      <c r="L38" s="7"/>
      <c r="M38" s="7"/>
      <c r="N38" s="7"/>
      <c r="O38" s="7"/>
      <c r="P38" s="7"/>
      <c r="Q38" s="7"/>
      <c r="R38" s="7"/>
      <c r="S38" s="7"/>
      <c r="T38" s="7"/>
      <c r="U38" s="7"/>
      <c r="V38" s="7"/>
    </row>
    <row r="39" spans="1:22" x14ac:dyDescent="0.3">
      <c r="A39" s="6"/>
      <c r="B39" s="6"/>
      <c r="C39" s="6"/>
      <c r="D39" s="6"/>
      <c r="E39" s="7"/>
      <c r="F39" s="7"/>
      <c r="G39" s="7"/>
      <c r="H39" s="7"/>
      <c r="I39" s="7"/>
      <c r="J39" s="7"/>
      <c r="K39" s="7"/>
      <c r="L39" s="7"/>
      <c r="M39" s="7"/>
      <c r="N39" s="7"/>
      <c r="O39" s="7"/>
      <c r="P39" s="7"/>
      <c r="Q39" s="7"/>
      <c r="R39" s="7"/>
      <c r="S39" s="7"/>
      <c r="T39" s="7"/>
      <c r="U39" s="7"/>
      <c r="V39" s="7"/>
    </row>
    <row r="40" spans="1:22" x14ac:dyDescent="0.3">
      <c r="A40" s="6"/>
      <c r="B40" s="6"/>
      <c r="C40" s="6"/>
      <c r="D40" s="6"/>
      <c r="E40" s="7"/>
      <c r="F40" s="7"/>
      <c r="G40" s="7"/>
      <c r="H40" s="7"/>
      <c r="I40" s="7"/>
      <c r="J40" s="7"/>
      <c r="K40" s="7"/>
      <c r="L40" s="7"/>
      <c r="M40" s="7"/>
      <c r="N40" s="7"/>
      <c r="O40" s="7"/>
      <c r="P40" s="7"/>
      <c r="Q40" s="7"/>
      <c r="R40" s="7"/>
      <c r="S40" s="7"/>
      <c r="T40" s="7"/>
      <c r="U40" s="7"/>
      <c r="V40" s="7"/>
    </row>
    <row r="52" spans="37:37" x14ac:dyDescent="0.3">
      <c r="AK52" t="s">
        <v>70</v>
      </c>
    </row>
  </sheetData>
  <mergeCells count="4">
    <mergeCell ref="A1:V3"/>
    <mergeCell ref="A4:V10"/>
    <mergeCell ref="A11:D40"/>
    <mergeCell ref="E11:V4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610D-44BC-443B-BDBB-11EF037985D7}">
  <dimension ref="A1:M51"/>
  <sheetViews>
    <sheetView tabSelected="1" zoomScale="77" zoomScaleNormal="55" workbookViewId="0">
      <selection activeCell="L58" sqref="L58"/>
    </sheetView>
  </sheetViews>
  <sheetFormatPr defaultRowHeight="14.4" x14ac:dyDescent="0.3"/>
  <cols>
    <col min="1" max="1" width="16" bestFit="1" customWidth="1"/>
    <col min="2" max="2" width="9.109375" customWidth="1"/>
    <col min="3" max="3" width="10.33203125" bestFit="1" customWidth="1"/>
    <col min="4" max="4" width="10.21875" bestFit="1" customWidth="1"/>
    <col min="5" max="5" width="18.109375" bestFit="1" customWidth="1"/>
    <col min="6" max="6" width="22.77734375" bestFit="1" customWidth="1"/>
    <col min="7" max="7" width="14.21875" customWidth="1"/>
    <col min="8" max="8" width="18" bestFit="1" customWidth="1"/>
    <col min="9" max="9" width="9.6640625" bestFit="1" customWidth="1"/>
    <col min="10" max="10" width="15.77734375" bestFit="1" customWidth="1"/>
    <col min="11" max="11" width="13.21875" customWidth="1"/>
    <col min="12" max="12" width="21.33203125" bestFit="1" customWidth="1"/>
    <col min="13" max="13" width="20.33203125" bestFit="1" customWidth="1"/>
  </cols>
  <sheetData>
    <row r="1" spans="1:13" ht="15.6" x14ac:dyDescent="0.3">
      <c r="A1" s="1" t="s">
        <v>0</v>
      </c>
      <c r="B1" s="2" t="s">
        <v>1</v>
      </c>
      <c r="C1" s="1" t="s">
        <v>2</v>
      </c>
      <c r="D1" s="1" t="s">
        <v>3</v>
      </c>
      <c r="E1" s="1" t="s">
        <v>4</v>
      </c>
      <c r="F1" s="1" t="s">
        <v>5</v>
      </c>
      <c r="G1" s="1" t="s">
        <v>6</v>
      </c>
      <c r="H1" s="1" t="s">
        <v>7</v>
      </c>
      <c r="I1" s="1" t="s">
        <v>8</v>
      </c>
      <c r="J1" s="1" t="s">
        <v>65</v>
      </c>
      <c r="K1" s="1" t="s">
        <v>66</v>
      </c>
      <c r="L1" s="1" t="s">
        <v>68</v>
      </c>
      <c r="M1" s="1" t="s">
        <v>69</v>
      </c>
    </row>
    <row r="2" spans="1:13" x14ac:dyDescent="0.3">
      <c r="A2" t="s">
        <v>9</v>
      </c>
      <c r="B2">
        <v>25</v>
      </c>
      <c r="C2" t="s">
        <v>10</v>
      </c>
      <c r="D2">
        <v>5</v>
      </c>
      <c r="E2">
        <v>12000</v>
      </c>
      <c r="F2">
        <v>10</v>
      </c>
      <c r="G2">
        <v>0</v>
      </c>
      <c r="H2" t="s">
        <v>11</v>
      </c>
      <c r="I2" t="s">
        <v>12</v>
      </c>
      <c r="J2">
        <f>IF(F2&gt;60,3,0)+IF(D2&lt;3,2,0)+IF(G2&gt;1,2,0)+IF(E2&lt;8000,1,0)</f>
        <v>0</v>
      </c>
      <c r="K2" t="str">
        <f>IF(J2&gt;=5,"High Risk",IF(J2&gt;=3,"Medium Risk","Low Risk"))</f>
        <v>Low Risk</v>
      </c>
      <c r="L2" t="str">
        <f>IF(Table2[[#This Row],[Total_Spending]]&gt;15000,"High value",IF(Table2[[#This Row],[Total_Spending]]&gt;8000,"Medium value","Low value"))</f>
        <v>Medium value</v>
      </c>
      <c r="M2" t="str">
        <f>IF(Table2[[#This Row],[Orders]]&gt;=6,"High",IF(Table2[[#This Row],[Orders]]&gt;=3,"Medium","Low"))</f>
        <v>Medium</v>
      </c>
    </row>
    <row r="3" spans="1:13" x14ac:dyDescent="0.3">
      <c r="A3" t="s">
        <v>13</v>
      </c>
      <c r="B3">
        <v>40</v>
      </c>
      <c r="C3" t="s">
        <v>14</v>
      </c>
      <c r="D3">
        <v>2</v>
      </c>
      <c r="E3">
        <v>5000</v>
      </c>
      <c r="F3">
        <v>60</v>
      </c>
      <c r="G3">
        <v>2</v>
      </c>
      <c r="H3" t="s">
        <v>11</v>
      </c>
      <c r="I3" t="s">
        <v>11</v>
      </c>
      <c r="J3">
        <f t="shared" ref="J3:J51" si="0">IF(F3&gt;60,3,0)+IF(D3&lt;3,2,0)+IF(G3&gt;1,2,0)+IF(E3&lt;8000,1,0)</f>
        <v>5</v>
      </c>
      <c r="K3" t="str">
        <f t="shared" ref="K3:K51" si="1">IF(J3&gt;=5,"High Risk",IF(J3&gt;=3,"Medium Risk","Low Risk"))</f>
        <v>High Risk</v>
      </c>
      <c r="L3" t="str">
        <f>IF(Table2[[#This Row],[Total_Spending]]&gt;15000,"High value",IF(Table2[[#This Row],[Total_Spending]]&gt;8000,"Medium value","Low value"))</f>
        <v>Low value</v>
      </c>
      <c r="M3" t="str">
        <f>IF(Table2[[#This Row],[Orders]]&gt;=6,"High",IF(Table2[[#This Row],[Orders]]&gt;=3,"Medium","Low"))</f>
        <v>Low</v>
      </c>
    </row>
    <row r="4" spans="1:13" x14ac:dyDescent="0.3">
      <c r="A4" t="s">
        <v>15</v>
      </c>
      <c r="B4">
        <v>30</v>
      </c>
      <c r="C4" t="s">
        <v>16</v>
      </c>
      <c r="D4">
        <v>8</v>
      </c>
      <c r="E4">
        <v>20000</v>
      </c>
      <c r="F4">
        <v>5</v>
      </c>
      <c r="G4">
        <v>0</v>
      </c>
      <c r="H4" t="s">
        <v>12</v>
      </c>
      <c r="I4" t="s">
        <v>12</v>
      </c>
      <c r="J4">
        <f t="shared" si="0"/>
        <v>0</v>
      </c>
      <c r="K4" t="str">
        <f t="shared" si="1"/>
        <v>Low Risk</v>
      </c>
      <c r="L4" t="str">
        <f>IF(Table2[[#This Row],[Total_Spending]]&gt;15000,"High value",IF(Table2[[#This Row],[Total_Spending]]&gt;8000,"Medium value","Low value"))</f>
        <v>High value</v>
      </c>
      <c r="M4" t="str">
        <f>IF(Table2[[#This Row],[Orders]]&gt;=6,"High",IF(Table2[[#This Row],[Orders]]&gt;=3,"Medium","Low"))</f>
        <v>High</v>
      </c>
    </row>
    <row r="5" spans="1:13" x14ac:dyDescent="0.3">
      <c r="A5" t="s">
        <v>17</v>
      </c>
      <c r="B5">
        <v>50</v>
      </c>
      <c r="C5" t="s">
        <v>18</v>
      </c>
      <c r="D5">
        <v>1</v>
      </c>
      <c r="E5">
        <v>3000</v>
      </c>
      <c r="F5">
        <v>90</v>
      </c>
      <c r="G5">
        <v>3</v>
      </c>
      <c r="H5" t="s">
        <v>11</v>
      </c>
      <c r="I5" t="s">
        <v>11</v>
      </c>
      <c r="J5">
        <f t="shared" si="0"/>
        <v>8</v>
      </c>
      <c r="K5" t="str">
        <f t="shared" si="1"/>
        <v>High Risk</v>
      </c>
      <c r="L5" t="str">
        <f>IF(Table2[[#This Row],[Total_Spending]]&gt;15000,"High value",IF(Table2[[#This Row],[Total_Spending]]&gt;8000,"Medium value","Low value"))</f>
        <v>Low value</v>
      </c>
      <c r="M5" t="str">
        <f>IF(Table2[[#This Row],[Orders]]&gt;=6,"High",IF(Table2[[#This Row],[Orders]]&gt;=3,"Medium","Low"))</f>
        <v>Low</v>
      </c>
    </row>
    <row r="6" spans="1:13" x14ac:dyDescent="0.3">
      <c r="A6" t="s">
        <v>19</v>
      </c>
      <c r="B6">
        <v>28</v>
      </c>
      <c r="C6" t="s">
        <v>10</v>
      </c>
      <c r="D6">
        <v>6</v>
      </c>
      <c r="E6">
        <v>15000</v>
      </c>
      <c r="F6">
        <v>15</v>
      </c>
      <c r="G6">
        <v>1</v>
      </c>
      <c r="H6" t="s">
        <v>12</v>
      </c>
      <c r="I6" t="s">
        <v>12</v>
      </c>
      <c r="J6">
        <f t="shared" si="0"/>
        <v>0</v>
      </c>
      <c r="K6" t="str">
        <f t="shared" si="1"/>
        <v>Low Risk</v>
      </c>
      <c r="L6" t="str">
        <f>IF(Table2[[#This Row],[Total_Spending]]&gt;15000,"High value",IF(Table2[[#This Row],[Total_Spending]]&gt;8000,"Medium value","Low value"))</f>
        <v>Medium value</v>
      </c>
      <c r="M6" t="str">
        <f>IF(Table2[[#This Row],[Orders]]&gt;=6,"High",IF(Table2[[#This Row],[Orders]]&gt;=3,"Medium","Low"))</f>
        <v>High</v>
      </c>
    </row>
    <row r="7" spans="1:13" x14ac:dyDescent="0.3">
      <c r="A7" t="s">
        <v>20</v>
      </c>
      <c r="B7">
        <v>35</v>
      </c>
      <c r="C7" t="s">
        <v>14</v>
      </c>
      <c r="D7">
        <v>3</v>
      </c>
      <c r="E7">
        <v>8000</v>
      </c>
      <c r="F7">
        <v>45</v>
      </c>
      <c r="G7">
        <v>1</v>
      </c>
      <c r="H7" t="s">
        <v>11</v>
      </c>
      <c r="I7" t="s">
        <v>12</v>
      </c>
      <c r="J7">
        <f t="shared" si="0"/>
        <v>0</v>
      </c>
      <c r="K7" t="str">
        <f t="shared" si="1"/>
        <v>Low Risk</v>
      </c>
      <c r="L7" t="str">
        <f>IF(Table2[[#This Row],[Total_Spending]]&gt;15000,"High value",IF(Table2[[#This Row],[Total_Spending]]&gt;8000,"Medium value","Low value"))</f>
        <v>Low value</v>
      </c>
      <c r="M7" t="str">
        <f>IF(Table2[[#This Row],[Orders]]&gt;=6,"High",IF(Table2[[#This Row],[Orders]]&gt;=3,"Medium","Low"))</f>
        <v>Medium</v>
      </c>
    </row>
    <row r="8" spans="1:13" x14ac:dyDescent="0.3">
      <c r="A8" t="s">
        <v>21</v>
      </c>
      <c r="B8">
        <v>45</v>
      </c>
      <c r="C8" t="s">
        <v>16</v>
      </c>
      <c r="D8">
        <v>2</v>
      </c>
      <c r="E8">
        <v>4000</v>
      </c>
      <c r="F8">
        <v>70</v>
      </c>
      <c r="G8">
        <v>2</v>
      </c>
      <c r="H8" t="s">
        <v>11</v>
      </c>
      <c r="I8" t="s">
        <v>11</v>
      </c>
      <c r="J8">
        <f t="shared" si="0"/>
        <v>8</v>
      </c>
      <c r="K8" t="str">
        <f t="shared" si="1"/>
        <v>High Risk</v>
      </c>
      <c r="L8" t="str">
        <f>IF(Table2[[#This Row],[Total_Spending]]&gt;15000,"High value",IF(Table2[[#This Row],[Total_Spending]]&gt;8000,"Medium value","Low value"))</f>
        <v>Low value</v>
      </c>
      <c r="M8" t="str">
        <f>IF(Table2[[#This Row],[Orders]]&gt;=6,"High",IF(Table2[[#This Row],[Orders]]&gt;=3,"Medium","Low"))</f>
        <v>Low</v>
      </c>
    </row>
    <row r="9" spans="1:13" x14ac:dyDescent="0.3">
      <c r="A9" t="s">
        <v>22</v>
      </c>
      <c r="B9">
        <v>29</v>
      </c>
      <c r="C9" t="s">
        <v>18</v>
      </c>
      <c r="D9">
        <v>7</v>
      </c>
      <c r="E9">
        <v>18000</v>
      </c>
      <c r="F9">
        <v>12</v>
      </c>
      <c r="G9">
        <v>0</v>
      </c>
      <c r="H9" t="s">
        <v>12</v>
      </c>
      <c r="I9" t="s">
        <v>12</v>
      </c>
      <c r="J9">
        <f t="shared" si="0"/>
        <v>0</v>
      </c>
      <c r="K9" t="str">
        <f t="shared" si="1"/>
        <v>Low Risk</v>
      </c>
      <c r="L9" t="str">
        <f>IF(Table2[[#This Row],[Total_Spending]]&gt;15000,"High value",IF(Table2[[#This Row],[Total_Spending]]&gt;8000,"Medium value","Low value"))</f>
        <v>High value</v>
      </c>
      <c r="M9" t="str">
        <f>IF(Table2[[#This Row],[Orders]]&gt;=6,"High",IF(Table2[[#This Row],[Orders]]&gt;=3,"Medium","Low"))</f>
        <v>High</v>
      </c>
    </row>
    <row r="10" spans="1:13" x14ac:dyDescent="0.3">
      <c r="A10" t="s">
        <v>23</v>
      </c>
      <c r="B10">
        <v>38</v>
      </c>
      <c r="C10" t="s">
        <v>10</v>
      </c>
      <c r="D10">
        <v>4</v>
      </c>
      <c r="E10">
        <v>10000</v>
      </c>
      <c r="F10">
        <v>30</v>
      </c>
      <c r="G10">
        <v>1</v>
      </c>
      <c r="H10" t="s">
        <v>11</v>
      </c>
      <c r="I10" t="s">
        <v>12</v>
      </c>
      <c r="J10">
        <f t="shared" si="0"/>
        <v>0</v>
      </c>
      <c r="K10" t="str">
        <f t="shared" si="1"/>
        <v>Low Risk</v>
      </c>
      <c r="L10" t="str">
        <f>IF(Table2[[#This Row],[Total_Spending]]&gt;15000,"High value",IF(Table2[[#This Row],[Total_Spending]]&gt;8000,"Medium value","Low value"))</f>
        <v>Medium value</v>
      </c>
      <c r="M10" t="str">
        <f>IF(Table2[[#This Row],[Orders]]&gt;=6,"High",IF(Table2[[#This Row],[Orders]]&gt;=3,"Medium","Low"))</f>
        <v>Medium</v>
      </c>
    </row>
    <row r="11" spans="1:13" x14ac:dyDescent="0.3">
      <c r="A11" t="s">
        <v>24</v>
      </c>
      <c r="B11">
        <v>55</v>
      </c>
      <c r="C11" t="s">
        <v>14</v>
      </c>
      <c r="D11">
        <v>1</v>
      </c>
      <c r="E11">
        <v>2000</v>
      </c>
      <c r="F11">
        <v>120</v>
      </c>
      <c r="G11">
        <v>4</v>
      </c>
      <c r="H11" t="s">
        <v>11</v>
      </c>
      <c r="I11" t="s">
        <v>11</v>
      </c>
      <c r="J11">
        <f t="shared" si="0"/>
        <v>8</v>
      </c>
      <c r="K11" t="str">
        <f t="shared" si="1"/>
        <v>High Risk</v>
      </c>
      <c r="L11" t="str">
        <f>IF(Table2[[#This Row],[Total_Spending]]&gt;15000,"High value",IF(Table2[[#This Row],[Total_Spending]]&gt;8000,"Medium value","Low value"))</f>
        <v>Low value</v>
      </c>
      <c r="M11" t="str">
        <f>IF(Table2[[#This Row],[Orders]]&gt;=6,"High",IF(Table2[[#This Row],[Orders]]&gt;=3,"Medium","Low"))</f>
        <v>Low</v>
      </c>
    </row>
    <row r="12" spans="1:13" x14ac:dyDescent="0.3">
      <c r="A12" t="s">
        <v>25</v>
      </c>
      <c r="B12">
        <v>32</v>
      </c>
      <c r="C12" t="s">
        <v>16</v>
      </c>
      <c r="D12">
        <v>6</v>
      </c>
      <c r="E12">
        <v>16000</v>
      </c>
      <c r="F12">
        <v>20</v>
      </c>
      <c r="G12">
        <v>0</v>
      </c>
      <c r="H12" t="s">
        <v>12</v>
      </c>
      <c r="I12" t="s">
        <v>12</v>
      </c>
      <c r="J12">
        <f t="shared" si="0"/>
        <v>0</v>
      </c>
      <c r="K12" t="str">
        <f t="shared" si="1"/>
        <v>Low Risk</v>
      </c>
      <c r="L12" t="str">
        <f>IF(Table2[[#This Row],[Total_Spending]]&gt;15000,"High value",IF(Table2[[#This Row],[Total_Spending]]&gt;8000,"Medium value","Low value"))</f>
        <v>High value</v>
      </c>
      <c r="M12" t="str">
        <f>IF(Table2[[#This Row],[Orders]]&gt;=6,"High",IF(Table2[[#This Row],[Orders]]&gt;=3,"Medium","Low"))</f>
        <v>High</v>
      </c>
    </row>
    <row r="13" spans="1:13" x14ac:dyDescent="0.3">
      <c r="A13" t="s">
        <v>26</v>
      </c>
      <c r="B13">
        <v>27</v>
      </c>
      <c r="C13" t="s">
        <v>18</v>
      </c>
      <c r="D13">
        <v>5</v>
      </c>
      <c r="E13">
        <v>14000</v>
      </c>
      <c r="F13">
        <v>18</v>
      </c>
      <c r="G13">
        <v>1</v>
      </c>
      <c r="H13" t="s">
        <v>12</v>
      </c>
      <c r="I13" t="s">
        <v>12</v>
      </c>
      <c r="J13">
        <f t="shared" si="0"/>
        <v>0</v>
      </c>
      <c r="K13" t="str">
        <f t="shared" si="1"/>
        <v>Low Risk</v>
      </c>
      <c r="L13" t="str">
        <f>IF(Table2[[#This Row],[Total_Spending]]&gt;15000,"High value",IF(Table2[[#This Row],[Total_Spending]]&gt;8000,"Medium value","Low value"))</f>
        <v>Medium value</v>
      </c>
      <c r="M13" t="str">
        <f>IF(Table2[[#This Row],[Orders]]&gt;=6,"High",IF(Table2[[#This Row],[Orders]]&gt;=3,"Medium","Low"))</f>
        <v>Medium</v>
      </c>
    </row>
    <row r="14" spans="1:13" x14ac:dyDescent="0.3">
      <c r="A14" t="s">
        <v>27</v>
      </c>
      <c r="B14">
        <v>48</v>
      </c>
      <c r="C14" t="s">
        <v>10</v>
      </c>
      <c r="D14">
        <v>2</v>
      </c>
      <c r="E14">
        <v>6000</v>
      </c>
      <c r="F14">
        <v>65</v>
      </c>
      <c r="G14">
        <v>2</v>
      </c>
      <c r="H14" t="s">
        <v>11</v>
      </c>
      <c r="I14" t="s">
        <v>11</v>
      </c>
      <c r="J14">
        <f t="shared" si="0"/>
        <v>8</v>
      </c>
      <c r="K14" t="str">
        <f t="shared" si="1"/>
        <v>High Risk</v>
      </c>
      <c r="L14" t="str">
        <f>IF(Table2[[#This Row],[Total_Spending]]&gt;15000,"High value",IF(Table2[[#This Row],[Total_Spending]]&gt;8000,"Medium value","Low value"))</f>
        <v>Low value</v>
      </c>
      <c r="M14" t="str">
        <f>IF(Table2[[#This Row],[Orders]]&gt;=6,"High",IF(Table2[[#This Row],[Orders]]&gt;=3,"Medium","Low"))</f>
        <v>Low</v>
      </c>
    </row>
    <row r="15" spans="1:13" x14ac:dyDescent="0.3">
      <c r="A15" t="s">
        <v>28</v>
      </c>
      <c r="B15">
        <v>36</v>
      </c>
      <c r="C15" t="s">
        <v>14</v>
      </c>
      <c r="D15">
        <v>7</v>
      </c>
      <c r="E15">
        <v>17000</v>
      </c>
      <c r="F15">
        <v>8</v>
      </c>
      <c r="G15">
        <v>0</v>
      </c>
      <c r="H15" t="s">
        <v>12</v>
      </c>
      <c r="I15" t="s">
        <v>12</v>
      </c>
      <c r="J15">
        <f t="shared" si="0"/>
        <v>0</v>
      </c>
      <c r="K15" t="str">
        <f t="shared" si="1"/>
        <v>Low Risk</v>
      </c>
      <c r="L15" t="str">
        <f>IF(Table2[[#This Row],[Total_Spending]]&gt;15000,"High value",IF(Table2[[#This Row],[Total_Spending]]&gt;8000,"Medium value","Low value"))</f>
        <v>High value</v>
      </c>
      <c r="M15" t="str">
        <f>IF(Table2[[#This Row],[Orders]]&gt;=6,"High",IF(Table2[[#This Row],[Orders]]&gt;=3,"Medium","Low"))</f>
        <v>High</v>
      </c>
    </row>
    <row r="16" spans="1:13" x14ac:dyDescent="0.3">
      <c r="A16" t="s">
        <v>29</v>
      </c>
      <c r="B16">
        <v>41</v>
      </c>
      <c r="C16" t="s">
        <v>16</v>
      </c>
      <c r="D16">
        <v>3</v>
      </c>
      <c r="E16">
        <v>9000</v>
      </c>
      <c r="F16">
        <v>40</v>
      </c>
      <c r="G16">
        <v>1</v>
      </c>
      <c r="H16" t="s">
        <v>11</v>
      </c>
      <c r="I16" t="s">
        <v>12</v>
      </c>
      <c r="J16">
        <f t="shared" si="0"/>
        <v>0</v>
      </c>
      <c r="K16" t="str">
        <f t="shared" si="1"/>
        <v>Low Risk</v>
      </c>
      <c r="L16" t="str">
        <f>IF(Table2[[#This Row],[Total_Spending]]&gt;15000,"High value",IF(Table2[[#This Row],[Total_Spending]]&gt;8000,"Medium value","Low value"))</f>
        <v>Medium value</v>
      </c>
      <c r="M16" t="str">
        <f>IF(Table2[[#This Row],[Orders]]&gt;=6,"High",IF(Table2[[#This Row],[Orders]]&gt;=3,"Medium","Low"))</f>
        <v>Medium</v>
      </c>
    </row>
    <row r="17" spans="1:13" x14ac:dyDescent="0.3">
      <c r="A17" t="s">
        <v>30</v>
      </c>
      <c r="B17">
        <v>52</v>
      </c>
      <c r="C17" t="s">
        <v>18</v>
      </c>
      <c r="D17">
        <v>1</v>
      </c>
      <c r="E17">
        <v>2500</v>
      </c>
      <c r="F17">
        <v>100</v>
      </c>
      <c r="G17">
        <v>3</v>
      </c>
      <c r="H17" t="s">
        <v>11</v>
      </c>
      <c r="I17" t="s">
        <v>11</v>
      </c>
      <c r="J17">
        <f t="shared" si="0"/>
        <v>8</v>
      </c>
      <c r="K17" t="str">
        <f t="shared" si="1"/>
        <v>High Risk</v>
      </c>
      <c r="L17" t="str">
        <f>IF(Table2[[#This Row],[Total_Spending]]&gt;15000,"High value",IF(Table2[[#This Row],[Total_Spending]]&gt;8000,"Medium value","Low value"))</f>
        <v>Low value</v>
      </c>
      <c r="M17" t="str">
        <f>IF(Table2[[#This Row],[Orders]]&gt;=6,"High",IF(Table2[[#This Row],[Orders]]&gt;=3,"Medium","Low"))</f>
        <v>Low</v>
      </c>
    </row>
    <row r="18" spans="1:13" x14ac:dyDescent="0.3">
      <c r="A18" t="s">
        <v>31</v>
      </c>
      <c r="B18">
        <v>26</v>
      </c>
      <c r="C18" t="s">
        <v>10</v>
      </c>
      <c r="D18">
        <v>8</v>
      </c>
      <c r="E18">
        <v>21000</v>
      </c>
      <c r="F18">
        <v>6</v>
      </c>
      <c r="G18">
        <v>0</v>
      </c>
      <c r="H18" t="s">
        <v>12</v>
      </c>
      <c r="I18" t="s">
        <v>12</v>
      </c>
      <c r="J18">
        <f t="shared" si="0"/>
        <v>0</v>
      </c>
      <c r="K18" t="str">
        <f t="shared" si="1"/>
        <v>Low Risk</v>
      </c>
      <c r="L18" t="str">
        <f>IF(Table2[[#This Row],[Total_Spending]]&gt;15000,"High value",IF(Table2[[#This Row],[Total_Spending]]&gt;8000,"Medium value","Low value"))</f>
        <v>High value</v>
      </c>
      <c r="M18" t="str">
        <f>IF(Table2[[#This Row],[Orders]]&gt;=6,"High",IF(Table2[[#This Row],[Orders]]&gt;=3,"Medium","Low"))</f>
        <v>High</v>
      </c>
    </row>
    <row r="19" spans="1:13" x14ac:dyDescent="0.3">
      <c r="A19" t="s">
        <v>32</v>
      </c>
      <c r="B19">
        <v>39</v>
      </c>
      <c r="C19" t="s">
        <v>14</v>
      </c>
      <c r="D19">
        <v>4</v>
      </c>
      <c r="E19">
        <v>11000</v>
      </c>
      <c r="F19">
        <v>25</v>
      </c>
      <c r="G19">
        <v>1</v>
      </c>
      <c r="H19" t="s">
        <v>11</v>
      </c>
      <c r="I19" t="s">
        <v>12</v>
      </c>
      <c r="J19">
        <f t="shared" si="0"/>
        <v>0</v>
      </c>
      <c r="K19" t="str">
        <f t="shared" si="1"/>
        <v>Low Risk</v>
      </c>
      <c r="L19" t="str">
        <f>IF(Table2[[#This Row],[Total_Spending]]&gt;15000,"High value",IF(Table2[[#This Row],[Total_Spending]]&gt;8000,"Medium value","Low value"))</f>
        <v>Medium value</v>
      </c>
      <c r="M19" t="str">
        <f>IF(Table2[[#This Row],[Orders]]&gt;=6,"High",IF(Table2[[#This Row],[Orders]]&gt;=3,"Medium","Low"))</f>
        <v>Medium</v>
      </c>
    </row>
    <row r="20" spans="1:13" x14ac:dyDescent="0.3">
      <c r="A20" t="s">
        <v>33</v>
      </c>
      <c r="B20">
        <v>44</v>
      </c>
      <c r="C20" t="s">
        <v>16</v>
      </c>
      <c r="D20">
        <v>2</v>
      </c>
      <c r="E20">
        <v>4500</v>
      </c>
      <c r="F20">
        <v>75</v>
      </c>
      <c r="G20">
        <v>2</v>
      </c>
      <c r="H20" t="s">
        <v>11</v>
      </c>
      <c r="I20" t="s">
        <v>11</v>
      </c>
      <c r="J20">
        <f t="shared" si="0"/>
        <v>8</v>
      </c>
      <c r="K20" t="str">
        <f t="shared" si="1"/>
        <v>High Risk</v>
      </c>
      <c r="L20" t="str">
        <f>IF(Table2[[#This Row],[Total_Spending]]&gt;15000,"High value",IF(Table2[[#This Row],[Total_Spending]]&gt;8000,"Medium value","Low value"))</f>
        <v>Low value</v>
      </c>
      <c r="M20" t="str">
        <f>IF(Table2[[#This Row],[Orders]]&gt;=6,"High",IF(Table2[[#This Row],[Orders]]&gt;=3,"Medium","Low"))</f>
        <v>Low</v>
      </c>
    </row>
    <row r="21" spans="1:13" x14ac:dyDescent="0.3">
      <c r="A21" t="s">
        <v>34</v>
      </c>
      <c r="B21">
        <v>31</v>
      </c>
      <c r="C21" t="s">
        <v>18</v>
      </c>
      <c r="D21">
        <v>6</v>
      </c>
      <c r="E21">
        <v>15500</v>
      </c>
      <c r="F21">
        <v>14</v>
      </c>
      <c r="G21">
        <v>0</v>
      </c>
      <c r="H21" t="s">
        <v>12</v>
      </c>
      <c r="I21" t="s">
        <v>12</v>
      </c>
      <c r="J21">
        <f t="shared" si="0"/>
        <v>0</v>
      </c>
      <c r="K21" t="str">
        <f t="shared" si="1"/>
        <v>Low Risk</v>
      </c>
      <c r="L21" t="str">
        <f>IF(Table2[[#This Row],[Total_Spending]]&gt;15000,"High value",IF(Table2[[#This Row],[Total_Spending]]&gt;8000,"Medium value","Low value"))</f>
        <v>High value</v>
      </c>
      <c r="M21" t="str">
        <f>IF(Table2[[#This Row],[Orders]]&gt;=6,"High",IF(Table2[[#This Row],[Orders]]&gt;=3,"Medium","Low"))</f>
        <v>High</v>
      </c>
    </row>
    <row r="22" spans="1:13" x14ac:dyDescent="0.3">
      <c r="A22" t="s">
        <v>35</v>
      </c>
      <c r="B22">
        <v>29</v>
      </c>
      <c r="C22" t="s">
        <v>10</v>
      </c>
      <c r="D22">
        <v>7</v>
      </c>
      <c r="E22">
        <v>19000</v>
      </c>
      <c r="F22">
        <v>9</v>
      </c>
      <c r="G22">
        <v>0</v>
      </c>
      <c r="H22" t="s">
        <v>12</v>
      </c>
      <c r="I22" t="s">
        <v>12</v>
      </c>
      <c r="J22">
        <f t="shared" si="0"/>
        <v>0</v>
      </c>
      <c r="K22" t="str">
        <f t="shared" si="1"/>
        <v>Low Risk</v>
      </c>
      <c r="L22" t="str">
        <f>IF(Table2[[#This Row],[Total_Spending]]&gt;15000,"High value",IF(Table2[[#This Row],[Total_Spending]]&gt;8000,"Medium value","Low value"))</f>
        <v>High value</v>
      </c>
      <c r="M22" t="str">
        <f>IF(Table2[[#This Row],[Orders]]&gt;=6,"High",IF(Table2[[#This Row],[Orders]]&gt;=3,"Medium","Low"))</f>
        <v>High</v>
      </c>
    </row>
    <row r="23" spans="1:13" x14ac:dyDescent="0.3">
      <c r="A23" t="s">
        <v>36</v>
      </c>
      <c r="B23">
        <v>46</v>
      </c>
      <c r="C23" t="s">
        <v>14</v>
      </c>
      <c r="D23">
        <v>1</v>
      </c>
      <c r="E23">
        <v>3500</v>
      </c>
      <c r="F23">
        <v>85</v>
      </c>
      <c r="G23">
        <v>3</v>
      </c>
      <c r="H23" t="s">
        <v>11</v>
      </c>
      <c r="I23" t="s">
        <v>11</v>
      </c>
      <c r="J23">
        <f t="shared" si="0"/>
        <v>8</v>
      </c>
      <c r="K23" t="str">
        <f t="shared" si="1"/>
        <v>High Risk</v>
      </c>
      <c r="L23" t="str">
        <f>IF(Table2[[#This Row],[Total_Spending]]&gt;15000,"High value",IF(Table2[[#This Row],[Total_Spending]]&gt;8000,"Medium value","Low value"))</f>
        <v>Low value</v>
      </c>
      <c r="M23" t="str">
        <f>IF(Table2[[#This Row],[Orders]]&gt;=6,"High",IF(Table2[[#This Row],[Orders]]&gt;=3,"Medium","Low"))</f>
        <v>Low</v>
      </c>
    </row>
    <row r="24" spans="1:13" x14ac:dyDescent="0.3">
      <c r="A24" t="s">
        <v>37</v>
      </c>
      <c r="B24">
        <v>34</v>
      </c>
      <c r="C24" t="s">
        <v>16</v>
      </c>
      <c r="D24">
        <v>5</v>
      </c>
      <c r="E24">
        <v>13000</v>
      </c>
      <c r="F24">
        <v>22</v>
      </c>
      <c r="G24">
        <v>1</v>
      </c>
      <c r="H24" t="s">
        <v>12</v>
      </c>
      <c r="I24" t="s">
        <v>12</v>
      </c>
      <c r="J24">
        <f t="shared" si="0"/>
        <v>0</v>
      </c>
      <c r="K24" t="str">
        <f t="shared" si="1"/>
        <v>Low Risk</v>
      </c>
      <c r="L24" t="str">
        <f>IF(Table2[[#This Row],[Total_Spending]]&gt;15000,"High value",IF(Table2[[#This Row],[Total_Spending]]&gt;8000,"Medium value","Low value"))</f>
        <v>Medium value</v>
      </c>
      <c r="M24" t="str">
        <f>IF(Table2[[#This Row],[Orders]]&gt;=6,"High",IF(Table2[[#This Row],[Orders]]&gt;=3,"Medium","Low"))</f>
        <v>Medium</v>
      </c>
    </row>
    <row r="25" spans="1:13" x14ac:dyDescent="0.3">
      <c r="A25" t="s">
        <v>38</v>
      </c>
      <c r="B25">
        <v>53</v>
      </c>
      <c r="C25" t="s">
        <v>18</v>
      </c>
      <c r="D25">
        <v>2</v>
      </c>
      <c r="E25">
        <v>5000</v>
      </c>
      <c r="F25">
        <v>95</v>
      </c>
      <c r="G25">
        <v>2</v>
      </c>
      <c r="H25" t="s">
        <v>11</v>
      </c>
      <c r="I25" t="s">
        <v>11</v>
      </c>
      <c r="J25">
        <f t="shared" si="0"/>
        <v>8</v>
      </c>
      <c r="K25" t="str">
        <f t="shared" si="1"/>
        <v>High Risk</v>
      </c>
      <c r="L25" t="str">
        <f>IF(Table2[[#This Row],[Total_Spending]]&gt;15000,"High value",IF(Table2[[#This Row],[Total_Spending]]&gt;8000,"Medium value","Low value"))</f>
        <v>Low value</v>
      </c>
      <c r="M25" t="str">
        <f>IF(Table2[[#This Row],[Orders]]&gt;=6,"High",IF(Table2[[#This Row],[Orders]]&gt;=3,"Medium","Low"))</f>
        <v>Low</v>
      </c>
    </row>
    <row r="26" spans="1:13" x14ac:dyDescent="0.3">
      <c r="A26" t="s">
        <v>39</v>
      </c>
      <c r="B26">
        <v>28</v>
      </c>
      <c r="C26" t="s">
        <v>10</v>
      </c>
      <c r="D26">
        <v>6</v>
      </c>
      <c r="E26">
        <v>16000</v>
      </c>
      <c r="F26">
        <v>16</v>
      </c>
      <c r="G26">
        <v>0</v>
      </c>
      <c r="H26" t="s">
        <v>12</v>
      </c>
      <c r="I26" t="s">
        <v>12</v>
      </c>
      <c r="J26">
        <f t="shared" si="0"/>
        <v>0</v>
      </c>
      <c r="K26" t="str">
        <f t="shared" si="1"/>
        <v>Low Risk</v>
      </c>
      <c r="L26" t="str">
        <f>IF(Table2[[#This Row],[Total_Spending]]&gt;15000,"High value",IF(Table2[[#This Row],[Total_Spending]]&gt;8000,"Medium value","Low value"))</f>
        <v>High value</v>
      </c>
      <c r="M26" t="str">
        <f>IF(Table2[[#This Row],[Orders]]&gt;=6,"High",IF(Table2[[#This Row],[Orders]]&gt;=3,"Medium","Low"))</f>
        <v>High</v>
      </c>
    </row>
    <row r="27" spans="1:13" x14ac:dyDescent="0.3">
      <c r="A27" t="s">
        <v>40</v>
      </c>
      <c r="B27">
        <v>37</v>
      </c>
      <c r="C27" t="s">
        <v>14</v>
      </c>
      <c r="D27">
        <v>3</v>
      </c>
      <c r="E27">
        <v>8500</v>
      </c>
      <c r="F27">
        <v>50</v>
      </c>
      <c r="G27">
        <v>1</v>
      </c>
      <c r="H27" t="s">
        <v>11</v>
      </c>
      <c r="I27" t="s">
        <v>12</v>
      </c>
      <c r="J27">
        <f t="shared" si="0"/>
        <v>0</v>
      </c>
      <c r="K27" t="str">
        <f t="shared" si="1"/>
        <v>Low Risk</v>
      </c>
      <c r="L27" t="str">
        <f>IF(Table2[[#This Row],[Total_Spending]]&gt;15000,"High value",IF(Table2[[#This Row],[Total_Spending]]&gt;8000,"Medium value","Low value"))</f>
        <v>Medium value</v>
      </c>
      <c r="M27" t="str">
        <f>IF(Table2[[#This Row],[Orders]]&gt;=6,"High",IF(Table2[[#This Row],[Orders]]&gt;=3,"Medium","Low"))</f>
        <v>Medium</v>
      </c>
    </row>
    <row r="28" spans="1:13" x14ac:dyDescent="0.3">
      <c r="A28" t="s">
        <v>41</v>
      </c>
      <c r="B28">
        <v>42</v>
      </c>
      <c r="C28" t="s">
        <v>16</v>
      </c>
      <c r="D28">
        <v>2</v>
      </c>
      <c r="E28">
        <v>4200</v>
      </c>
      <c r="F28">
        <v>80</v>
      </c>
      <c r="G28">
        <v>2</v>
      </c>
      <c r="H28" t="s">
        <v>11</v>
      </c>
      <c r="I28" t="s">
        <v>11</v>
      </c>
      <c r="J28">
        <f t="shared" si="0"/>
        <v>8</v>
      </c>
      <c r="K28" t="str">
        <f t="shared" si="1"/>
        <v>High Risk</v>
      </c>
      <c r="L28" t="str">
        <f>IF(Table2[[#This Row],[Total_Spending]]&gt;15000,"High value",IF(Table2[[#This Row],[Total_Spending]]&gt;8000,"Medium value","Low value"))</f>
        <v>Low value</v>
      </c>
      <c r="M28" t="str">
        <f>IF(Table2[[#This Row],[Orders]]&gt;=6,"High",IF(Table2[[#This Row],[Orders]]&gt;=3,"Medium","Low"))</f>
        <v>Low</v>
      </c>
    </row>
    <row r="29" spans="1:13" x14ac:dyDescent="0.3">
      <c r="A29" t="s">
        <v>42</v>
      </c>
      <c r="B29">
        <v>30</v>
      </c>
      <c r="C29" t="s">
        <v>18</v>
      </c>
      <c r="D29">
        <v>7</v>
      </c>
      <c r="E29">
        <v>17500</v>
      </c>
      <c r="F29">
        <v>11</v>
      </c>
      <c r="G29">
        <v>0</v>
      </c>
      <c r="H29" t="s">
        <v>12</v>
      </c>
      <c r="I29" t="s">
        <v>12</v>
      </c>
      <c r="J29">
        <f t="shared" si="0"/>
        <v>0</v>
      </c>
      <c r="K29" t="str">
        <f t="shared" si="1"/>
        <v>Low Risk</v>
      </c>
      <c r="L29" t="str">
        <f>IF(Table2[[#This Row],[Total_Spending]]&gt;15000,"High value",IF(Table2[[#This Row],[Total_Spending]]&gt;8000,"Medium value","Low value"))</f>
        <v>High value</v>
      </c>
      <c r="M29" t="str">
        <f>IF(Table2[[#This Row],[Orders]]&gt;=6,"High",IF(Table2[[#This Row],[Orders]]&gt;=3,"Medium","Low"))</f>
        <v>High</v>
      </c>
    </row>
    <row r="30" spans="1:13" x14ac:dyDescent="0.3">
      <c r="A30" t="s">
        <v>43</v>
      </c>
      <c r="B30">
        <v>33</v>
      </c>
      <c r="C30" t="s">
        <v>10</v>
      </c>
      <c r="D30">
        <v>5</v>
      </c>
      <c r="E30">
        <v>14000</v>
      </c>
      <c r="F30">
        <v>19</v>
      </c>
      <c r="G30">
        <v>1</v>
      </c>
      <c r="H30" t="s">
        <v>12</v>
      </c>
      <c r="I30" t="s">
        <v>12</v>
      </c>
      <c r="J30">
        <f t="shared" si="0"/>
        <v>0</v>
      </c>
      <c r="K30" t="str">
        <f t="shared" si="1"/>
        <v>Low Risk</v>
      </c>
      <c r="L30" t="str">
        <f>IF(Table2[[#This Row],[Total_Spending]]&gt;15000,"High value",IF(Table2[[#This Row],[Total_Spending]]&gt;8000,"Medium value","Low value"))</f>
        <v>Medium value</v>
      </c>
      <c r="M30" t="str">
        <f>IF(Table2[[#This Row],[Orders]]&gt;=6,"High",IF(Table2[[#This Row],[Orders]]&gt;=3,"Medium","Low"))</f>
        <v>Medium</v>
      </c>
    </row>
    <row r="31" spans="1:13" x14ac:dyDescent="0.3">
      <c r="A31" t="s">
        <v>44</v>
      </c>
      <c r="B31">
        <v>49</v>
      </c>
      <c r="C31" t="s">
        <v>14</v>
      </c>
      <c r="D31">
        <v>1</v>
      </c>
      <c r="E31">
        <v>3000</v>
      </c>
      <c r="F31">
        <v>110</v>
      </c>
      <c r="G31">
        <v>4</v>
      </c>
      <c r="H31" t="s">
        <v>11</v>
      </c>
      <c r="I31" t="s">
        <v>11</v>
      </c>
      <c r="J31">
        <f t="shared" si="0"/>
        <v>8</v>
      </c>
      <c r="K31" t="str">
        <f t="shared" si="1"/>
        <v>High Risk</v>
      </c>
      <c r="L31" t="str">
        <f>IF(Table2[[#This Row],[Total_Spending]]&gt;15000,"High value",IF(Table2[[#This Row],[Total_Spending]]&gt;8000,"Medium value","Low value"))</f>
        <v>Low value</v>
      </c>
      <c r="M31" t="str">
        <f>IF(Table2[[#This Row],[Orders]]&gt;=6,"High",IF(Table2[[#This Row],[Orders]]&gt;=3,"Medium","Low"))</f>
        <v>Low</v>
      </c>
    </row>
    <row r="32" spans="1:13" x14ac:dyDescent="0.3">
      <c r="A32" t="s">
        <v>45</v>
      </c>
      <c r="B32">
        <v>27</v>
      </c>
      <c r="C32" t="s">
        <v>16</v>
      </c>
      <c r="D32">
        <v>8</v>
      </c>
      <c r="E32">
        <v>22000</v>
      </c>
      <c r="F32">
        <v>7</v>
      </c>
      <c r="G32">
        <v>0</v>
      </c>
      <c r="H32" t="s">
        <v>12</v>
      </c>
      <c r="I32" t="s">
        <v>12</v>
      </c>
      <c r="J32">
        <f t="shared" si="0"/>
        <v>0</v>
      </c>
      <c r="K32" t="str">
        <f t="shared" si="1"/>
        <v>Low Risk</v>
      </c>
      <c r="L32" t="str">
        <f>IF(Table2[[#This Row],[Total_Spending]]&gt;15000,"High value",IF(Table2[[#This Row],[Total_Spending]]&gt;8000,"Medium value","Low value"))</f>
        <v>High value</v>
      </c>
      <c r="M32" t="str">
        <f>IF(Table2[[#This Row],[Orders]]&gt;=6,"High",IF(Table2[[#This Row],[Orders]]&gt;=3,"Medium","Low"))</f>
        <v>High</v>
      </c>
    </row>
    <row r="33" spans="1:13" x14ac:dyDescent="0.3">
      <c r="A33" t="s">
        <v>46</v>
      </c>
      <c r="B33">
        <v>35</v>
      </c>
      <c r="C33" t="s">
        <v>18</v>
      </c>
      <c r="D33">
        <v>4</v>
      </c>
      <c r="E33">
        <v>12000</v>
      </c>
      <c r="F33">
        <v>28</v>
      </c>
      <c r="G33">
        <v>1</v>
      </c>
      <c r="H33" t="s">
        <v>11</v>
      </c>
      <c r="I33" t="s">
        <v>12</v>
      </c>
      <c r="J33">
        <f t="shared" si="0"/>
        <v>0</v>
      </c>
      <c r="K33" t="str">
        <f t="shared" si="1"/>
        <v>Low Risk</v>
      </c>
      <c r="L33" t="str">
        <f>IF(Table2[[#This Row],[Total_Spending]]&gt;15000,"High value",IF(Table2[[#This Row],[Total_Spending]]&gt;8000,"Medium value","Low value"))</f>
        <v>Medium value</v>
      </c>
      <c r="M33" t="str">
        <f>IF(Table2[[#This Row],[Orders]]&gt;=6,"High",IF(Table2[[#This Row],[Orders]]&gt;=3,"Medium","Low"))</f>
        <v>Medium</v>
      </c>
    </row>
    <row r="34" spans="1:13" x14ac:dyDescent="0.3">
      <c r="A34" t="s">
        <v>47</v>
      </c>
      <c r="B34">
        <v>51</v>
      </c>
      <c r="C34" t="s">
        <v>10</v>
      </c>
      <c r="D34">
        <v>2</v>
      </c>
      <c r="E34">
        <v>5500</v>
      </c>
      <c r="F34">
        <v>68</v>
      </c>
      <c r="G34">
        <v>2</v>
      </c>
      <c r="H34" t="s">
        <v>11</v>
      </c>
      <c r="I34" t="s">
        <v>11</v>
      </c>
      <c r="J34">
        <f t="shared" si="0"/>
        <v>8</v>
      </c>
      <c r="K34" t="str">
        <f t="shared" si="1"/>
        <v>High Risk</v>
      </c>
      <c r="L34" t="str">
        <f>IF(Table2[[#This Row],[Total_Spending]]&gt;15000,"High value",IF(Table2[[#This Row],[Total_Spending]]&gt;8000,"Medium value","Low value"))</f>
        <v>Low value</v>
      </c>
      <c r="M34" t="str">
        <f>IF(Table2[[#This Row],[Orders]]&gt;=6,"High",IF(Table2[[#This Row],[Orders]]&gt;=3,"Medium","Low"))</f>
        <v>Low</v>
      </c>
    </row>
    <row r="35" spans="1:13" x14ac:dyDescent="0.3">
      <c r="A35" t="s">
        <v>48</v>
      </c>
      <c r="B35">
        <v>38</v>
      </c>
      <c r="C35" t="s">
        <v>14</v>
      </c>
      <c r="D35">
        <v>6</v>
      </c>
      <c r="E35">
        <v>16500</v>
      </c>
      <c r="F35">
        <v>13</v>
      </c>
      <c r="G35">
        <v>0</v>
      </c>
      <c r="H35" t="s">
        <v>12</v>
      </c>
      <c r="I35" t="s">
        <v>12</v>
      </c>
      <c r="J35">
        <f t="shared" si="0"/>
        <v>0</v>
      </c>
      <c r="K35" t="str">
        <f t="shared" si="1"/>
        <v>Low Risk</v>
      </c>
      <c r="L35" t="str">
        <f>IF(Table2[[#This Row],[Total_Spending]]&gt;15000,"High value",IF(Table2[[#This Row],[Total_Spending]]&gt;8000,"Medium value","Low value"))</f>
        <v>High value</v>
      </c>
      <c r="M35" t="str">
        <f>IF(Table2[[#This Row],[Orders]]&gt;=6,"High",IF(Table2[[#This Row],[Orders]]&gt;=3,"Medium","Low"))</f>
        <v>High</v>
      </c>
    </row>
    <row r="36" spans="1:13" x14ac:dyDescent="0.3">
      <c r="A36" t="s">
        <v>49</v>
      </c>
      <c r="B36">
        <v>43</v>
      </c>
      <c r="C36" t="s">
        <v>16</v>
      </c>
      <c r="D36">
        <v>3</v>
      </c>
      <c r="E36">
        <v>9200</v>
      </c>
      <c r="F36">
        <v>42</v>
      </c>
      <c r="G36">
        <v>1</v>
      </c>
      <c r="H36" t="s">
        <v>11</v>
      </c>
      <c r="I36" t="s">
        <v>12</v>
      </c>
      <c r="J36">
        <f t="shared" si="0"/>
        <v>0</v>
      </c>
      <c r="K36" t="str">
        <f t="shared" si="1"/>
        <v>Low Risk</v>
      </c>
      <c r="L36" t="str">
        <f>IF(Table2[[#This Row],[Total_Spending]]&gt;15000,"High value",IF(Table2[[#This Row],[Total_Spending]]&gt;8000,"Medium value","Low value"))</f>
        <v>Medium value</v>
      </c>
      <c r="M36" t="str">
        <f>IF(Table2[[#This Row],[Orders]]&gt;=6,"High",IF(Table2[[#This Row],[Orders]]&gt;=3,"Medium","Low"))</f>
        <v>Medium</v>
      </c>
    </row>
    <row r="37" spans="1:13" x14ac:dyDescent="0.3">
      <c r="A37" t="s">
        <v>50</v>
      </c>
      <c r="B37">
        <v>54</v>
      </c>
      <c r="C37" t="s">
        <v>18</v>
      </c>
      <c r="D37">
        <v>1</v>
      </c>
      <c r="E37">
        <v>2700</v>
      </c>
      <c r="F37">
        <v>105</v>
      </c>
      <c r="G37">
        <v>3</v>
      </c>
      <c r="H37" t="s">
        <v>11</v>
      </c>
      <c r="I37" t="s">
        <v>11</v>
      </c>
      <c r="J37">
        <f t="shared" si="0"/>
        <v>8</v>
      </c>
      <c r="K37" t="str">
        <f t="shared" si="1"/>
        <v>High Risk</v>
      </c>
      <c r="L37" t="str">
        <f>IF(Table2[[#This Row],[Total_Spending]]&gt;15000,"High value",IF(Table2[[#This Row],[Total_Spending]]&gt;8000,"Medium value","Low value"))</f>
        <v>Low value</v>
      </c>
      <c r="M37" t="str">
        <f>IF(Table2[[#This Row],[Orders]]&gt;=6,"High",IF(Table2[[#This Row],[Orders]]&gt;=3,"Medium","Low"))</f>
        <v>Low</v>
      </c>
    </row>
    <row r="38" spans="1:13" x14ac:dyDescent="0.3">
      <c r="A38" t="s">
        <v>51</v>
      </c>
      <c r="B38">
        <v>26</v>
      </c>
      <c r="C38" t="s">
        <v>10</v>
      </c>
      <c r="D38">
        <v>7</v>
      </c>
      <c r="E38">
        <v>20000</v>
      </c>
      <c r="F38">
        <v>10</v>
      </c>
      <c r="G38">
        <v>0</v>
      </c>
      <c r="H38" t="s">
        <v>12</v>
      </c>
      <c r="I38" t="s">
        <v>12</v>
      </c>
      <c r="J38">
        <f t="shared" si="0"/>
        <v>0</v>
      </c>
      <c r="K38" t="str">
        <f t="shared" si="1"/>
        <v>Low Risk</v>
      </c>
      <c r="L38" t="str">
        <f>IF(Table2[[#This Row],[Total_Spending]]&gt;15000,"High value",IF(Table2[[#This Row],[Total_Spending]]&gt;8000,"Medium value","Low value"))</f>
        <v>High value</v>
      </c>
      <c r="M38" t="str">
        <f>IF(Table2[[#This Row],[Orders]]&gt;=6,"High",IF(Table2[[#This Row],[Orders]]&gt;=3,"Medium","Low"))</f>
        <v>High</v>
      </c>
    </row>
    <row r="39" spans="1:13" x14ac:dyDescent="0.3">
      <c r="A39" t="s">
        <v>52</v>
      </c>
      <c r="B39">
        <v>40</v>
      </c>
      <c r="C39" t="s">
        <v>14</v>
      </c>
      <c r="D39">
        <v>4</v>
      </c>
      <c r="E39">
        <v>11500</v>
      </c>
      <c r="F39">
        <v>27</v>
      </c>
      <c r="G39">
        <v>1</v>
      </c>
      <c r="H39" t="s">
        <v>11</v>
      </c>
      <c r="I39" t="s">
        <v>12</v>
      </c>
      <c r="J39">
        <f t="shared" si="0"/>
        <v>0</v>
      </c>
      <c r="K39" t="str">
        <f t="shared" si="1"/>
        <v>Low Risk</v>
      </c>
      <c r="L39" t="str">
        <f>IF(Table2[[#This Row],[Total_Spending]]&gt;15000,"High value",IF(Table2[[#This Row],[Total_Spending]]&gt;8000,"Medium value","Low value"))</f>
        <v>Medium value</v>
      </c>
      <c r="M39" t="str">
        <f>IF(Table2[[#This Row],[Orders]]&gt;=6,"High",IF(Table2[[#This Row],[Orders]]&gt;=3,"Medium","Low"))</f>
        <v>Medium</v>
      </c>
    </row>
    <row r="40" spans="1:13" x14ac:dyDescent="0.3">
      <c r="A40" t="s">
        <v>53</v>
      </c>
      <c r="B40">
        <v>45</v>
      </c>
      <c r="C40" t="s">
        <v>16</v>
      </c>
      <c r="D40">
        <v>2</v>
      </c>
      <c r="E40">
        <v>4800</v>
      </c>
      <c r="F40">
        <v>78</v>
      </c>
      <c r="G40">
        <v>2</v>
      </c>
      <c r="H40" t="s">
        <v>11</v>
      </c>
      <c r="I40" t="s">
        <v>11</v>
      </c>
      <c r="J40">
        <f t="shared" si="0"/>
        <v>8</v>
      </c>
      <c r="K40" t="str">
        <f t="shared" si="1"/>
        <v>High Risk</v>
      </c>
      <c r="L40" t="str">
        <f>IF(Table2[[#This Row],[Total_Spending]]&gt;15000,"High value",IF(Table2[[#This Row],[Total_Spending]]&gt;8000,"Medium value","Low value"))</f>
        <v>Low value</v>
      </c>
      <c r="M40" t="str">
        <f>IF(Table2[[#This Row],[Orders]]&gt;=6,"High",IF(Table2[[#This Row],[Orders]]&gt;=3,"Medium","Low"))</f>
        <v>Low</v>
      </c>
    </row>
    <row r="41" spans="1:13" x14ac:dyDescent="0.3">
      <c r="A41" t="s">
        <v>54</v>
      </c>
      <c r="B41">
        <v>31</v>
      </c>
      <c r="C41" t="s">
        <v>18</v>
      </c>
      <c r="D41">
        <v>6</v>
      </c>
      <c r="E41">
        <v>15000</v>
      </c>
      <c r="F41">
        <v>15</v>
      </c>
      <c r="G41">
        <v>0</v>
      </c>
      <c r="H41" t="s">
        <v>12</v>
      </c>
      <c r="I41" t="s">
        <v>12</v>
      </c>
      <c r="J41">
        <f t="shared" si="0"/>
        <v>0</v>
      </c>
      <c r="K41" t="str">
        <f t="shared" si="1"/>
        <v>Low Risk</v>
      </c>
      <c r="L41" t="str">
        <f>IF(Table2[[#This Row],[Total_Spending]]&gt;15000,"High value",IF(Table2[[#This Row],[Total_Spending]]&gt;8000,"Medium value","Low value"))</f>
        <v>Medium value</v>
      </c>
      <c r="M41" t="str">
        <f>IF(Table2[[#This Row],[Orders]]&gt;=6,"High",IF(Table2[[#This Row],[Orders]]&gt;=3,"Medium","Low"))</f>
        <v>High</v>
      </c>
    </row>
    <row r="42" spans="1:13" x14ac:dyDescent="0.3">
      <c r="A42" t="s">
        <v>55</v>
      </c>
      <c r="B42">
        <v>29</v>
      </c>
      <c r="C42" t="s">
        <v>10</v>
      </c>
      <c r="D42">
        <v>8</v>
      </c>
      <c r="E42">
        <v>23000</v>
      </c>
      <c r="F42">
        <v>5</v>
      </c>
      <c r="G42">
        <v>0</v>
      </c>
      <c r="H42" t="s">
        <v>12</v>
      </c>
      <c r="I42" t="s">
        <v>12</v>
      </c>
      <c r="J42">
        <f t="shared" si="0"/>
        <v>0</v>
      </c>
      <c r="K42" t="str">
        <f t="shared" si="1"/>
        <v>Low Risk</v>
      </c>
      <c r="L42" t="str">
        <f>IF(Table2[[#This Row],[Total_Spending]]&gt;15000,"High value",IF(Table2[[#This Row],[Total_Spending]]&gt;8000,"Medium value","Low value"))</f>
        <v>High value</v>
      </c>
      <c r="M42" t="str">
        <f>IF(Table2[[#This Row],[Orders]]&gt;=6,"High",IF(Table2[[#This Row],[Orders]]&gt;=3,"Medium","Low"))</f>
        <v>High</v>
      </c>
    </row>
    <row r="43" spans="1:13" x14ac:dyDescent="0.3">
      <c r="A43" t="s">
        <v>56</v>
      </c>
      <c r="B43">
        <v>47</v>
      </c>
      <c r="C43" t="s">
        <v>14</v>
      </c>
      <c r="D43">
        <v>1</v>
      </c>
      <c r="E43">
        <v>3200</v>
      </c>
      <c r="F43">
        <v>90</v>
      </c>
      <c r="G43">
        <v>3</v>
      </c>
      <c r="H43" t="s">
        <v>11</v>
      </c>
      <c r="I43" t="s">
        <v>11</v>
      </c>
      <c r="J43">
        <f t="shared" si="0"/>
        <v>8</v>
      </c>
      <c r="K43" t="str">
        <f t="shared" si="1"/>
        <v>High Risk</v>
      </c>
      <c r="L43" t="str">
        <f>IF(Table2[[#This Row],[Total_Spending]]&gt;15000,"High value",IF(Table2[[#This Row],[Total_Spending]]&gt;8000,"Medium value","Low value"))</f>
        <v>Low value</v>
      </c>
      <c r="M43" t="str">
        <f>IF(Table2[[#This Row],[Orders]]&gt;=6,"High",IF(Table2[[#This Row],[Orders]]&gt;=3,"Medium","Low"))</f>
        <v>Low</v>
      </c>
    </row>
    <row r="44" spans="1:13" x14ac:dyDescent="0.3">
      <c r="A44" t="s">
        <v>57</v>
      </c>
      <c r="B44">
        <v>36</v>
      </c>
      <c r="C44" t="s">
        <v>16</v>
      </c>
      <c r="D44">
        <v>5</v>
      </c>
      <c r="E44">
        <v>13500</v>
      </c>
      <c r="F44">
        <v>21</v>
      </c>
      <c r="G44">
        <v>1</v>
      </c>
      <c r="H44" t="s">
        <v>12</v>
      </c>
      <c r="I44" t="s">
        <v>12</v>
      </c>
      <c r="J44">
        <f t="shared" si="0"/>
        <v>0</v>
      </c>
      <c r="K44" t="str">
        <f t="shared" si="1"/>
        <v>Low Risk</v>
      </c>
      <c r="L44" t="str">
        <f>IF(Table2[[#This Row],[Total_Spending]]&gt;15000,"High value",IF(Table2[[#This Row],[Total_Spending]]&gt;8000,"Medium value","Low value"))</f>
        <v>Medium value</v>
      </c>
      <c r="M44" t="str">
        <f>IF(Table2[[#This Row],[Orders]]&gt;=6,"High",IF(Table2[[#This Row],[Orders]]&gt;=3,"Medium","Low"))</f>
        <v>Medium</v>
      </c>
    </row>
    <row r="45" spans="1:13" x14ac:dyDescent="0.3">
      <c r="A45" t="s">
        <v>58</v>
      </c>
      <c r="B45">
        <v>52</v>
      </c>
      <c r="C45" t="s">
        <v>18</v>
      </c>
      <c r="D45">
        <v>2</v>
      </c>
      <c r="E45">
        <v>5200</v>
      </c>
      <c r="F45">
        <v>88</v>
      </c>
      <c r="G45">
        <v>2</v>
      </c>
      <c r="H45" t="s">
        <v>11</v>
      </c>
      <c r="I45" t="s">
        <v>11</v>
      </c>
      <c r="J45">
        <f t="shared" si="0"/>
        <v>8</v>
      </c>
      <c r="K45" t="str">
        <f t="shared" si="1"/>
        <v>High Risk</v>
      </c>
      <c r="L45" t="str">
        <f>IF(Table2[[#This Row],[Total_Spending]]&gt;15000,"High value",IF(Table2[[#This Row],[Total_Spending]]&gt;8000,"Medium value","Low value"))</f>
        <v>Low value</v>
      </c>
      <c r="M45" t="str">
        <f>IF(Table2[[#This Row],[Orders]]&gt;=6,"High",IF(Table2[[#This Row],[Orders]]&gt;=3,"Medium","Low"))</f>
        <v>Low</v>
      </c>
    </row>
    <row r="46" spans="1:13" x14ac:dyDescent="0.3">
      <c r="A46" t="s">
        <v>59</v>
      </c>
      <c r="B46">
        <v>28</v>
      </c>
      <c r="C46" t="s">
        <v>10</v>
      </c>
      <c r="D46">
        <v>6</v>
      </c>
      <c r="E46">
        <v>15500</v>
      </c>
      <c r="F46">
        <v>14</v>
      </c>
      <c r="G46">
        <v>0</v>
      </c>
      <c r="H46" t="s">
        <v>12</v>
      </c>
      <c r="I46" t="s">
        <v>12</v>
      </c>
      <c r="J46">
        <f t="shared" si="0"/>
        <v>0</v>
      </c>
      <c r="K46" t="str">
        <f t="shared" si="1"/>
        <v>Low Risk</v>
      </c>
      <c r="L46" t="str">
        <f>IF(Table2[[#This Row],[Total_Spending]]&gt;15000,"High value",IF(Table2[[#This Row],[Total_Spending]]&gt;8000,"Medium value","Low value"))</f>
        <v>High value</v>
      </c>
      <c r="M46" t="str">
        <f>IF(Table2[[#This Row],[Orders]]&gt;=6,"High",IF(Table2[[#This Row],[Orders]]&gt;=3,"Medium","Low"))</f>
        <v>High</v>
      </c>
    </row>
    <row r="47" spans="1:13" x14ac:dyDescent="0.3">
      <c r="A47" t="s">
        <v>60</v>
      </c>
      <c r="B47">
        <v>39</v>
      </c>
      <c r="C47" t="s">
        <v>14</v>
      </c>
      <c r="D47">
        <v>3</v>
      </c>
      <c r="E47">
        <v>8700</v>
      </c>
      <c r="F47">
        <v>48</v>
      </c>
      <c r="G47">
        <v>1</v>
      </c>
      <c r="H47" t="s">
        <v>11</v>
      </c>
      <c r="I47" t="s">
        <v>12</v>
      </c>
      <c r="J47">
        <f t="shared" si="0"/>
        <v>0</v>
      </c>
      <c r="K47" t="str">
        <f t="shared" si="1"/>
        <v>Low Risk</v>
      </c>
      <c r="L47" t="str">
        <f>IF(Table2[[#This Row],[Total_Spending]]&gt;15000,"High value",IF(Table2[[#This Row],[Total_Spending]]&gt;8000,"Medium value","Low value"))</f>
        <v>Medium value</v>
      </c>
      <c r="M47" t="str">
        <f>IF(Table2[[#This Row],[Orders]]&gt;=6,"High",IF(Table2[[#This Row],[Orders]]&gt;=3,"Medium","Low"))</f>
        <v>Medium</v>
      </c>
    </row>
    <row r="48" spans="1:13" x14ac:dyDescent="0.3">
      <c r="A48" t="s">
        <v>61</v>
      </c>
      <c r="B48">
        <v>44</v>
      </c>
      <c r="C48" t="s">
        <v>16</v>
      </c>
      <c r="D48">
        <v>2</v>
      </c>
      <c r="E48">
        <v>4300</v>
      </c>
      <c r="F48">
        <v>82</v>
      </c>
      <c r="G48">
        <v>2</v>
      </c>
      <c r="H48" t="s">
        <v>11</v>
      </c>
      <c r="I48" t="s">
        <v>11</v>
      </c>
      <c r="J48">
        <f t="shared" si="0"/>
        <v>8</v>
      </c>
      <c r="K48" t="str">
        <f t="shared" si="1"/>
        <v>High Risk</v>
      </c>
      <c r="L48" t="str">
        <f>IF(Table2[[#This Row],[Total_Spending]]&gt;15000,"High value",IF(Table2[[#This Row],[Total_Spending]]&gt;8000,"Medium value","Low value"))</f>
        <v>Low value</v>
      </c>
      <c r="M48" t="str">
        <f>IF(Table2[[#This Row],[Orders]]&gt;=6,"High",IF(Table2[[#This Row],[Orders]]&gt;=3,"Medium","Low"))</f>
        <v>Low</v>
      </c>
    </row>
    <row r="49" spans="1:13" x14ac:dyDescent="0.3">
      <c r="A49" t="s">
        <v>62</v>
      </c>
      <c r="B49">
        <v>30</v>
      </c>
      <c r="C49" t="s">
        <v>18</v>
      </c>
      <c r="D49">
        <v>7</v>
      </c>
      <c r="E49">
        <v>17800</v>
      </c>
      <c r="F49">
        <v>12</v>
      </c>
      <c r="G49">
        <v>0</v>
      </c>
      <c r="H49" t="s">
        <v>12</v>
      </c>
      <c r="I49" t="s">
        <v>12</v>
      </c>
      <c r="J49">
        <f t="shared" si="0"/>
        <v>0</v>
      </c>
      <c r="K49" t="str">
        <f t="shared" si="1"/>
        <v>Low Risk</v>
      </c>
      <c r="L49" t="str">
        <f>IF(Table2[[#This Row],[Total_Spending]]&gt;15000,"High value",IF(Table2[[#This Row],[Total_Spending]]&gt;8000,"Medium value","Low value"))</f>
        <v>High value</v>
      </c>
      <c r="M49" t="str">
        <f>IF(Table2[[#This Row],[Orders]]&gt;=6,"High",IF(Table2[[#This Row],[Orders]]&gt;=3,"Medium","Low"))</f>
        <v>High</v>
      </c>
    </row>
    <row r="50" spans="1:13" x14ac:dyDescent="0.3">
      <c r="A50" t="s">
        <v>63</v>
      </c>
      <c r="B50">
        <v>34</v>
      </c>
      <c r="C50" t="s">
        <v>10</v>
      </c>
      <c r="D50">
        <v>5</v>
      </c>
      <c r="E50">
        <v>14200</v>
      </c>
      <c r="F50">
        <v>18</v>
      </c>
      <c r="G50">
        <v>1</v>
      </c>
      <c r="H50" t="s">
        <v>12</v>
      </c>
      <c r="I50" t="s">
        <v>12</v>
      </c>
      <c r="J50">
        <f t="shared" si="0"/>
        <v>0</v>
      </c>
      <c r="K50" t="str">
        <f t="shared" si="1"/>
        <v>Low Risk</v>
      </c>
      <c r="L50" t="str">
        <f>IF(Table2[[#This Row],[Total_Spending]]&gt;15000,"High value",IF(Table2[[#This Row],[Total_Spending]]&gt;8000,"Medium value","Low value"))</f>
        <v>Medium value</v>
      </c>
      <c r="M50" t="str">
        <f>IF(Table2[[#This Row],[Orders]]&gt;=6,"High",IF(Table2[[#This Row],[Orders]]&gt;=3,"Medium","Low"))</f>
        <v>Medium</v>
      </c>
    </row>
    <row r="51" spans="1:13" x14ac:dyDescent="0.3">
      <c r="A51" t="s">
        <v>64</v>
      </c>
      <c r="B51">
        <v>50</v>
      </c>
      <c r="C51" t="s">
        <v>14</v>
      </c>
      <c r="D51">
        <v>1</v>
      </c>
      <c r="E51">
        <v>2900</v>
      </c>
      <c r="F51">
        <v>115</v>
      </c>
      <c r="G51">
        <v>4</v>
      </c>
      <c r="H51" t="s">
        <v>11</v>
      </c>
      <c r="I51" t="s">
        <v>11</v>
      </c>
      <c r="J51">
        <f t="shared" si="0"/>
        <v>8</v>
      </c>
      <c r="K51" t="str">
        <f t="shared" si="1"/>
        <v>High Risk</v>
      </c>
      <c r="L51" t="str">
        <f>IF(Table2[[#This Row],[Total_Spending]]&gt;15000,"High value",IF(Table2[[#This Row],[Total_Spending]]&gt;8000,"Medium value","Low value"))</f>
        <v>Low value</v>
      </c>
      <c r="M51" t="str">
        <f>IF(Table2[[#This Row],[Orders]]&gt;=6,"High",IF(Table2[[#This Row],[Orders]]&gt;=3,"Medium","Low"))</f>
        <v>Low</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Muskan Yadav</dc:creator>
  <cp:lastModifiedBy>Muskan Yadav</cp:lastModifiedBy>
  <dcterms:created xsi:type="dcterms:W3CDTF">2026-06-12T22:02:10Z</dcterms:created>
  <dcterms:modified xsi:type="dcterms:W3CDTF">2026-06-17T05:07:04Z</dcterms:modified>
</cp:coreProperties>
</file>